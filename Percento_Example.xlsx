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覽" sheetId="1" r:id="rId5"/>
    <sheet state="visible" name="設定" sheetId="2" r:id="rId6"/>
    <sheet state="visible" name="現金帳戶" sheetId="3" r:id="rId7"/>
    <sheet state="visible" name="投資" sheetId="4" r:id="rId8"/>
    <sheet state="visible" name="固定資產" sheetId="5" r:id="rId9"/>
    <sheet state="visible" name="負債" sheetId="6" r:id="rId10"/>
    <sheet state="visible" name="應收款" sheetId="7" r:id="rId11"/>
    <sheet state="visible" name="歷史紀錄" sheetId="8" r:id="rId12"/>
  </sheets>
  <definedNames/>
  <calcPr/>
</workbook>
</file>

<file path=xl/sharedStrings.xml><?xml version="1.0" encoding="utf-8"?>
<sst xmlns="http://schemas.openxmlformats.org/spreadsheetml/2006/main" count="237" uniqueCount="144">
  <si>
    <t>📊  個人財務總覽</t>
  </si>
  <si>
    <t>計價幣別：新台幣（TWD）　　資產更新時間：2026-05-07 20:23:08</t>
  </si>
  <si>
    <t>── 資產分類明細 ──</t>
  </si>
  <si>
    <t>💰 現金帳戶</t>
  </si>
  <si>
    <t>📈 投資組合</t>
  </si>
  <si>
    <t>🏠 固定資產</t>
  </si>
  <si>
    <t>📥 應收款</t>
  </si>
  <si>
    <t>💳 負債</t>
  </si>
  <si>
    <t>📊  總資產</t>
  </si>
  <si>
    <t>✅  淨資產</t>
  </si>
  <si>
    <t>現金帳戶</t>
  </si>
  <si>
    <t>投資組合</t>
  </si>
  <si>
    <t>固定資產</t>
  </si>
  <si>
    <t>應收款</t>
  </si>
  <si>
    <r>
      <rPr>
        <rFont val="DejaVu Sans"/>
        <i/>
        <color rgb="FF607D8B"/>
        <sz val="9.0"/>
      </rPr>
      <t xml:space="preserve">🎨 顏色規範：藍色文字 </t>
    </r>
    <r>
      <rPr>
        <rFont val="DejaVu Sans"/>
        <i/>
        <color rgb="FF607D8B"/>
        <sz val="9.0"/>
      </rPr>
      <t xml:space="preserve">= </t>
    </r>
    <r>
      <rPr>
        <rFont val="DejaVu Sans"/>
        <i/>
        <color rgb="FF607D8B"/>
        <sz val="9.0"/>
      </rPr>
      <t xml:space="preserve">人工輸入值　黑色文字 </t>
    </r>
    <r>
      <rPr>
        <rFont val="DejaVu Sans"/>
        <i/>
        <color rgb="FF607D8B"/>
        <sz val="9.0"/>
      </rPr>
      <t xml:space="preserve">= </t>
    </r>
    <r>
      <rPr>
        <rFont val="DejaVu Sans"/>
        <i/>
        <color rgb="FF607D8B"/>
        <sz val="9.0"/>
      </rPr>
      <t xml:space="preserve">公式計算　綠色文字 </t>
    </r>
    <r>
      <rPr>
        <rFont val="DejaVu Sans"/>
        <i/>
        <color rgb="FF607D8B"/>
        <sz val="9.0"/>
      </rPr>
      <t xml:space="preserve">= </t>
    </r>
    <r>
      <rPr>
        <rFont val="DejaVu Sans"/>
        <i/>
        <color rgb="FF607D8B"/>
        <sz val="9.0"/>
      </rPr>
      <t>跨工作表參照</t>
    </r>
  </si>
  <si>
    <t>⚙️  系統設定 — 匯率</t>
  </si>
  <si>
    <t>貨幣名稱</t>
  </si>
  <si>
    <t>代號</t>
  </si>
  <si>
    <r>
      <rPr>
        <rFont val="Arial"/>
        <b/>
        <color rgb="FFFFFFFF"/>
        <sz val="9.0"/>
      </rPr>
      <t>1</t>
    </r>
    <r>
      <rPr>
        <rFont val="DejaVu Sans"/>
        <b/>
        <color rgb="FFFFFFFF"/>
        <sz val="9.0"/>
      </rPr>
      <t xml:space="preserve">外幣 </t>
    </r>
    <r>
      <rPr>
        <rFont val="Arial"/>
        <b/>
        <color rgb="FFFFFFFF"/>
        <sz val="9.0"/>
      </rPr>
      <t xml:space="preserve">= N </t>
    </r>
    <r>
      <rPr>
        <rFont val="DejaVu Sans"/>
        <b/>
        <color rgb="FFFFFFFF"/>
        <sz val="9.0"/>
      </rPr>
      <t>台幣</t>
    </r>
  </si>
  <si>
    <t>資產更新時間</t>
  </si>
  <si>
    <t>美元</t>
  </si>
  <si>
    <t>USD</t>
  </si>
  <si>
    <t>日圓</t>
  </si>
  <si>
    <t>JPY</t>
  </si>
  <si>
    <t>歐元</t>
  </si>
  <si>
    <t>EUR</t>
  </si>
  <si>
    <t>港幣</t>
  </si>
  <si>
    <t>HKD</t>
  </si>
  <si>
    <t>上次更新: 2026-05-07</t>
  </si>
  <si>
    <r>
      <rPr>
        <rFont val="DejaVu Sans"/>
        <i/>
        <color rgb="FF607D8B"/>
        <sz val="9.0"/>
      </rPr>
      <t>📌 說明：藍色欄位為輸入欄。請定期更新匯率，所有工作表換算均參照此處。
顏色規範：藍色</t>
    </r>
    <r>
      <rPr>
        <rFont val="DejaVu Sans"/>
        <i/>
        <color rgb="FF607D8B"/>
        <sz val="9.0"/>
      </rPr>
      <t>=</t>
    </r>
    <r>
      <rPr>
        <rFont val="DejaVu Sans"/>
        <i/>
        <color rgb="FF607D8B"/>
        <sz val="9.0"/>
      </rPr>
      <t>人工輸入　黑色</t>
    </r>
    <r>
      <rPr>
        <rFont val="DejaVu Sans"/>
        <i/>
        <color rgb="FF607D8B"/>
        <sz val="9.0"/>
      </rPr>
      <t>=</t>
    </r>
    <r>
      <rPr>
        <rFont val="DejaVu Sans"/>
        <i/>
        <color rgb="FF607D8B"/>
        <sz val="9.0"/>
      </rPr>
      <t>公式計算　綠色</t>
    </r>
    <r>
      <rPr>
        <rFont val="DejaVu Sans"/>
        <i/>
        <color rgb="FF607D8B"/>
        <sz val="9.0"/>
      </rPr>
      <t>=</t>
    </r>
    <r>
      <rPr>
        <rFont val="DejaVu Sans"/>
        <i/>
        <color rgb="FF607D8B"/>
        <sz val="9.0"/>
      </rPr>
      <t>跨工作表參照</t>
    </r>
  </si>
  <si>
    <t>💰  現金帳戶</t>
  </si>
  <si>
    <t>帳戶名稱</t>
  </si>
  <si>
    <t>幣別</t>
  </si>
  <si>
    <t>金額（原幣）</t>
  </si>
  <si>
    <t>匯率（→台幣）</t>
  </si>
  <si>
    <t>台幣金額</t>
  </si>
  <si>
    <t>最後操作時間</t>
  </si>
  <si>
    <t>台新日幣</t>
  </si>
  <si>
    <t>2026-04-18 00:00</t>
  </si>
  <si>
    <t>台新台幣</t>
  </si>
  <si>
    <t>TWD</t>
  </si>
  <si>
    <t>永豐台幣</t>
  </si>
  <si>
    <t>新光</t>
  </si>
  <si>
    <t>2026-02-07 00:00</t>
  </si>
  <si>
    <t>中信台幣</t>
  </si>
  <si>
    <t>美債</t>
  </si>
  <si>
    <t>富邦台幣</t>
  </si>
  <si>
    <t>2026-04-20 00:00</t>
  </si>
  <si>
    <t>富邦美金</t>
  </si>
  <si>
    <t>台新美金</t>
  </si>
  <si>
    <t>💰  現金帳戶合計</t>
  </si>
  <si>
    <t>📈  投資組合</t>
  </si>
  <si>
    <t>類別</t>
  </si>
  <si>
    <t>資產名稱</t>
  </si>
  <si>
    <t>持有數量</t>
  </si>
  <si>
    <t>現價</t>
  </si>
  <si>
    <t>市值（原幣）</t>
  </si>
  <si>
    <t>市值（台幣）</t>
  </si>
  <si>
    <t>成本（台幣）</t>
  </si>
  <si>
    <t>損益（台幣）</t>
  </si>
  <si>
    <r>
      <rPr>
        <rFont val="DejaVu Sans"/>
        <color rgb="FF0000FF"/>
        <sz val="10.0"/>
      </rPr>
      <t>美股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</si>
  <si>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信息科技指數</t>
    </r>
    <r>
      <rPr>
        <rFont val="DejaVu Sans"/>
        <color rgb="FF0000FF"/>
        <sz val="10.0"/>
      </rPr>
      <t>ETF-Vanguard</t>
    </r>
  </si>
  <si>
    <t>VGT</t>
  </si>
  <si>
    <r>
      <rPr>
        <rFont val="DejaVu Sans"/>
        <color rgb="FF0000FF"/>
        <sz val="10.0"/>
      </rPr>
      <t>美股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</si>
  <si>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納斯達克</t>
    </r>
    <r>
      <rPr>
        <rFont val="DejaVu Sans"/>
        <color rgb="FF0000FF"/>
        <sz val="10.0"/>
      </rPr>
      <t>100ETF-Invesco</t>
    </r>
  </si>
  <si>
    <t>QQQ</t>
  </si>
  <si>
    <r>
      <rPr>
        <rFont val="DejaVu Sans"/>
        <color rgb="FF0000FF"/>
        <sz val="10.0"/>
      </rPr>
      <t>美股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</si>
  <si>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全市場指數</t>
    </r>
    <r>
      <rPr>
        <rFont val="DejaVu Sans"/>
        <color rgb="FF0000FF"/>
        <sz val="10.0"/>
      </rPr>
      <t>ETF-Vanguard</t>
    </r>
  </si>
  <si>
    <t>VTI</t>
  </si>
  <si>
    <r>
      <rPr>
        <rFont val="DejaVu Sans"/>
        <color rgb="FF0000FF"/>
        <sz val="10.0"/>
      </rPr>
      <t>美股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</si>
  <si>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標普</t>
    </r>
    <r>
      <rPr>
        <rFont val="DejaVu Sans"/>
        <color rgb="FF0000FF"/>
        <sz val="10.0"/>
      </rPr>
      <t>500ETF-SPDR</t>
    </r>
  </si>
  <si>
    <t>SPY</t>
  </si>
  <si>
    <r>
      <rPr>
        <rFont val="DejaVu Sans"/>
        <color rgb="FF0000FF"/>
        <sz val="10.0"/>
      </rPr>
      <t>美股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</si>
  <si>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標普</t>
    </r>
    <r>
      <rPr>
        <rFont val="DejaVu Sans"/>
        <color rgb="FF0000FF"/>
        <sz val="10.0"/>
      </rPr>
      <t>500ETF-Vanguard</t>
    </r>
  </si>
  <si>
    <t>VOO</t>
  </si>
  <si>
    <r>
      <rPr>
        <rFont val="DejaVu Sans"/>
        <color rgb="FF0000FF"/>
        <sz val="10.0"/>
      </rPr>
      <t>美股</t>
    </r>
    <r>
      <rPr>
        <rFont val="DejaVu Sans"/>
        <color rgb="FF0000FF"/>
        <sz val="10.0"/>
      </rPr>
      <t>ETF</t>
    </r>
  </si>
  <si>
    <t>Alpha Architect 1-3 Month Box E</t>
  </si>
  <si>
    <t>BOXX</t>
  </si>
  <si>
    <t>美股</t>
  </si>
  <si>
    <r>
      <rPr>
        <rFont val="DejaVu Sans"/>
        <color rgb="FF0000FF"/>
        <sz val="10.0"/>
      </rPr>
      <t>谷歌</t>
    </r>
    <r>
      <rPr>
        <rFont val="DejaVu Sans"/>
        <color rgb="FF0000FF"/>
        <sz val="10.0"/>
      </rPr>
      <t>-C</t>
    </r>
  </si>
  <si>
    <t>GOOGL</t>
  </si>
  <si>
    <t>Meta Platforms Inc-A</t>
  </si>
  <si>
    <t>META</t>
  </si>
  <si>
    <t>微軟</t>
  </si>
  <si>
    <t>MSFT</t>
  </si>
  <si>
    <t>超威半導體</t>
  </si>
  <si>
    <t>AMD</t>
  </si>
  <si>
    <t>英偉達</t>
  </si>
  <si>
    <t>NVDA</t>
  </si>
  <si>
    <r>
      <rPr>
        <rFont val="DejaVu Sans"/>
        <color rgb="FF0000FF"/>
        <sz val="10.0"/>
      </rPr>
      <t>伯克希爾哈撒韋</t>
    </r>
    <r>
      <rPr>
        <rFont val="DejaVu Sans"/>
        <color rgb="FF0000FF"/>
        <sz val="10.0"/>
      </rPr>
      <t>-B</t>
    </r>
  </si>
  <si>
    <t>BRK.B</t>
  </si>
  <si>
    <t>蘋果</t>
  </si>
  <si>
    <t>AAPL</t>
  </si>
  <si>
    <t>台股</t>
  </si>
  <si>
    <t>廣達</t>
  </si>
  <si>
    <t>2382</t>
  </si>
  <si>
    <t>鴻海</t>
  </si>
  <si>
    <t>2317</t>
  </si>
  <si>
    <t>聯發科</t>
  </si>
  <si>
    <t>2454</t>
  </si>
  <si>
    <t>台積電</t>
  </si>
  <si>
    <t>2330</t>
  </si>
  <si>
    <t>2026-04-17 00:00</t>
  </si>
  <si>
    <r>
      <rPr>
        <rFont val="DejaVu Sans"/>
        <color rgb="FF0000FF"/>
        <sz val="10.0"/>
      </rPr>
      <t>台灣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</si>
  <si>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元大台灣</t>
    </r>
    <r>
      <rPr>
        <rFont val="DejaVu Sans"/>
        <color rgb="FF0000FF"/>
        <sz val="10.0"/>
      </rPr>
      <t>50</t>
    </r>
  </si>
  <si>
    <t>0050</t>
  </si>
  <si>
    <r>
      <rPr>
        <rFont val="DejaVu Sans"/>
        <color rgb="FF0000FF"/>
        <sz val="10.0"/>
      </rPr>
      <t>台灣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</si>
  <si>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元大美債</t>
    </r>
    <r>
      <rPr>
        <rFont val="DejaVu Sans"/>
        <color rgb="FF0000FF"/>
        <sz val="10.0"/>
      </rPr>
      <t>20</t>
    </r>
    <r>
      <rPr>
        <rFont val="DejaVu Sans"/>
        <color rgb="FF0000FF"/>
        <sz val="10.0"/>
      </rPr>
      <t>年</t>
    </r>
  </si>
  <si>
    <t>00679B</t>
  </si>
  <si>
    <r>
      <rPr>
        <rFont val="DejaVu Sans"/>
        <color rgb="FF0000FF"/>
        <sz val="10.0"/>
      </rPr>
      <t>台灣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</si>
  <si>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元大台灣</t>
    </r>
    <r>
      <rPr>
        <rFont val="DejaVu Sans"/>
        <color rgb="FF0000FF"/>
        <sz val="10.0"/>
      </rPr>
      <t>50</t>
    </r>
    <r>
      <rPr>
        <rFont val="DejaVu Sans"/>
        <color rgb="FF0000FF"/>
        <sz val="10.0"/>
      </rPr>
      <t>正</t>
    </r>
    <r>
      <rPr>
        <rFont val="DejaVu Sans"/>
        <color rgb="FF0000FF"/>
        <sz val="10.0"/>
      </rPr>
      <t>2</t>
    </r>
  </si>
  <si>
    <t>00631L</t>
  </si>
  <si>
    <r>
      <rPr>
        <rFont val="DejaVu Sans"/>
        <color rgb="FF0000FF"/>
        <sz val="10.0"/>
      </rPr>
      <t>台灣</t>
    </r>
    <r>
      <rPr>
        <rFont val="DejaVu Sans"/>
        <color rgb="FF0000FF"/>
        <sz val="10.0"/>
      </rPr>
      <t>ETF</t>
    </r>
  </si>
  <si>
    <r>
      <rPr>
        <rFont val="DejaVu Sans"/>
        <color rgb="FF0000FF"/>
        <sz val="10.0"/>
      </rPr>
      <t>富邦台</t>
    </r>
    <r>
      <rPr>
        <rFont val="DejaVu Sans"/>
        <color rgb="FF0000FF"/>
        <sz val="10.0"/>
      </rPr>
      <t>50</t>
    </r>
  </si>
  <si>
    <t>006208</t>
  </si>
  <si>
    <t>📈  投資組合合計</t>
  </si>
  <si>
    <r>
      <rPr>
        <rFont val="DejaVu Sans"/>
        <i/>
        <color rgb="FF607D8B"/>
        <sz val="9.0"/>
      </rPr>
      <t xml:space="preserve">📌 更新說明：「現價」欄位（藍色）請定期手動輸入最新市場價格。幣別請填 </t>
    </r>
    <r>
      <rPr>
        <rFont val="DejaVu Sans"/>
        <i/>
        <color rgb="FF607D8B"/>
        <sz val="9.0"/>
      </rPr>
      <t xml:space="preserve">USD / TWD / JPY </t>
    </r>
    <r>
      <rPr>
        <rFont val="DejaVu Sans"/>
        <i/>
        <color rgb="FF607D8B"/>
        <sz val="9.0"/>
      </rPr>
      <t xml:space="preserve">等。成本以台幣填寫。損益 </t>
    </r>
    <r>
      <rPr>
        <rFont val="DejaVu Sans"/>
        <i/>
        <color rgb="FF607D8B"/>
        <sz val="9.0"/>
      </rPr>
      <t xml:space="preserve">= </t>
    </r>
    <r>
      <rPr>
        <rFont val="DejaVu Sans"/>
        <i/>
        <color rgb="FF607D8B"/>
        <sz val="9.0"/>
      </rPr>
      <t>市值</t>
    </r>
    <r>
      <rPr>
        <rFont val="DejaVu Sans"/>
        <i/>
        <color rgb="FF607D8B"/>
        <sz val="9.0"/>
      </rPr>
      <t>(</t>
    </r>
    <r>
      <rPr>
        <rFont val="DejaVu Sans"/>
        <i/>
        <color rgb="FF607D8B"/>
        <sz val="9.0"/>
      </rPr>
      <t>台幣</t>
    </r>
    <r>
      <rPr>
        <rFont val="DejaVu Sans"/>
        <i/>
        <color rgb="FF607D8B"/>
        <sz val="9.0"/>
      </rPr>
      <t xml:space="preserve">) - </t>
    </r>
    <r>
      <rPr>
        <rFont val="DejaVu Sans"/>
        <i/>
        <color rgb="FF607D8B"/>
        <sz val="9.0"/>
      </rPr>
      <t>成本</t>
    </r>
    <r>
      <rPr>
        <rFont val="DejaVu Sans"/>
        <i/>
        <color rgb="FF607D8B"/>
        <sz val="9.0"/>
      </rPr>
      <t>(</t>
    </r>
    <r>
      <rPr>
        <rFont val="DejaVu Sans"/>
        <i/>
        <color rgb="FF607D8B"/>
        <sz val="9.0"/>
      </rPr>
      <t>台幣</t>
    </r>
    <r>
      <rPr>
        <rFont val="DejaVu Sans"/>
        <i/>
        <color rgb="FF607D8B"/>
        <sz val="9.0"/>
      </rPr>
      <t>)</t>
    </r>
    <r>
      <rPr>
        <rFont val="DejaVu Sans"/>
        <i/>
        <color rgb="FF607D8B"/>
        <sz val="9.0"/>
      </rPr>
      <t>。</t>
    </r>
  </si>
  <si>
    <t>🏠  固定資產</t>
  </si>
  <si>
    <t>描述</t>
  </si>
  <si>
    <t>不動產</t>
  </si>
  <si>
    <t>房產（估值）</t>
  </si>
  <si>
    <t>🏠  固定資產合計</t>
  </si>
  <si>
    <t>💳  負債</t>
  </si>
  <si>
    <t>項目</t>
  </si>
  <si>
    <t>增貸</t>
  </si>
  <si>
    <t>新建帳戶</t>
  </si>
  <si>
    <t>項目1</t>
  </si>
  <si>
    <t>修改餘額</t>
  </si>
  <si>
    <t>項目2</t>
  </si>
  <si>
    <t>項目3</t>
  </si>
  <si>
    <t>項目4</t>
  </si>
  <si>
    <t>房貸</t>
  </si>
  <si>
    <t>💳  負債合計</t>
  </si>
  <si>
    <t>📥  應收款</t>
  </si>
  <si>
    <t>某人</t>
  </si>
  <si>
    <t>📥  應收款合計</t>
  </si>
  <si>
    <t>📊  每日資產快照 — 歷史紀錄</t>
  </si>
  <si>
    <t>日期</t>
  </si>
  <si>
    <t>總資產</t>
  </si>
  <si>
    <t>淨資產</t>
  </si>
  <si>
    <t>現金</t>
  </si>
  <si>
    <t>投資</t>
  </si>
  <si>
    <t>負債</t>
  </si>
  <si>
    <t>📌 每日更新：請在新的一行輸入日期，並從「總覽」頁複製貼上（選擇性貼上→數值）各項合計。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</si>
</sst>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;\(#,##0\);\-"/>
    <numFmt numFmtId="165" formatCode="0.0000"/>
    <numFmt numFmtId="166" formatCode="yyyy-mm-dd h:mm:ss"/>
    <numFmt numFmtId="167" formatCode="#,##0.00;\(#,##0.00\);\-"/>
    <numFmt numFmtId="168" formatCode="yyyy/mm/dd"/>
    <numFmt numFmtId="169" formatCode="#,##0.0000;\(#,##0.0000\);\-"/>
    <numFmt numFmtId="170" formatCode="yyyy-mm-dd h:mm"/>
  </numFmts>
  <fonts count="27">
    <font>
      <sz val="11.0"/>
      <color theme="1"/>
      <name val="Calibri"/>
      <scheme val="minor"/>
    </font>
    <font>
      <b/>
      <sz val="16.0"/>
      <color rgb="FFFFFFFF"/>
      <name val="Verdana"/>
    </font>
    <font/>
    <font>
      <i/>
      <sz val="10.0"/>
      <color rgb="FF607D8B"/>
      <name val="Verdana"/>
    </font>
    <font>
      <sz val="11.0"/>
      <color theme="1"/>
      <name val="Calibri"/>
    </font>
    <font>
      <b/>
      <sz val="10.0"/>
      <color rgb="FFFFFFFF"/>
      <name val="Verdana"/>
    </font>
    <font>
      <b/>
      <sz val="11.0"/>
      <color rgb="FFFFFFFF"/>
      <name val="Verdana"/>
    </font>
    <font>
      <b/>
      <sz val="14.0"/>
      <color rgb="FF006400"/>
      <name val="Arial"/>
    </font>
    <font>
      <b/>
      <sz val="12.0"/>
      <color rgb="FFFFFFFF"/>
      <name val="Verdana"/>
    </font>
    <font>
      <b/>
      <sz val="22.0"/>
      <color rgb="FF1B5E20"/>
      <name val="Arial"/>
    </font>
    <font>
      <sz val="9.0"/>
      <color rgb="FF607D8B"/>
      <name val="Verdana"/>
    </font>
    <font>
      <sz val="10.0"/>
      <color rgb="FF000000"/>
      <name val="Arial"/>
    </font>
    <font>
      <i/>
      <sz val="9.0"/>
      <color rgb="FF607D8B"/>
      <name val="Verdana"/>
    </font>
    <font>
      <b/>
      <sz val="13.0"/>
      <color rgb="FFFFFFFF"/>
      <name val="Verdana"/>
    </font>
    <font>
      <b/>
      <sz val="9.0"/>
      <color rgb="FFFFFFFF"/>
      <name val="Verdana"/>
    </font>
    <font>
      <b/>
      <sz val="9.0"/>
      <color rgb="FFFFFFFF"/>
      <name val="Arial"/>
    </font>
    <font>
      <sz val="10.0"/>
      <color rgb="FF263238"/>
      <name val="Verdana"/>
    </font>
    <font>
      <sz val="10.0"/>
      <color rgb="FF263238"/>
      <name val="Arial"/>
    </font>
    <font>
      <b/>
      <color rgb="FFFFFFFF"/>
      <name val="Calibri"/>
      <scheme val="minor"/>
    </font>
    <font>
      <sz val="10.0"/>
      <color rgb="FF000000"/>
      <name val="Verdana"/>
    </font>
    <font>
      <color rgb="FF000000"/>
      <name val="Calibri"/>
      <scheme val="minor"/>
    </font>
    <font>
      <b/>
      <sz val="10.0"/>
      <color rgb="FF000000"/>
      <name val="Arial"/>
    </font>
    <font>
      <color theme="1"/>
      <name val="Calibri"/>
      <scheme val="minor"/>
    </font>
    <font>
      <sz val="10.0"/>
      <color rgb="FF0000FF"/>
      <name val="Verdana"/>
    </font>
    <font>
      <sz val="10.0"/>
      <color rgb="FF0000FF"/>
      <name val="Arial"/>
    </font>
    <font>
      <b/>
      <sz val="10.0"/>
      <color rgb="FFB71C1C"/>
      <name val="Arial"/>
    </font>
    <font>
      <b/>
      <sz val="10.0"/>
      <color rgb="FF0D47A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ECEFF1"/>
        <bgColor rgb="FFECEFF1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B71C1C"/>
        <bgColor rgb="FFB71C1C"/>
      </patternFill>
    </fill>
    <fill>
      <patternFill patternType="solid">
        <fgColor rgb="FFFFEBEE"/>
        <bgColor rgb="FFFFEBEE"/>
      </patternFill>
    </fill>
    <fill>
      <patternFill patternType="solid">
        <fgColor rgb="FFFFF9C4"/>
        <bgColor rgb="FFFFF9C4"/>
      </patternFill>
    </fill>
    <fill>
      <patternFill patternType="solid">
        <fgColor rgb="FFEBF5FB"/>
        <bgColor rgb="FFEBF5FB"/>
      </patternFill>
    </fill>
    <fill>
      <patternFill patternType="solid">
        <fgColor rgb="FF2E7D31"/>
        <bgColor rgb="FF2E7D31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  <fill>
      <patternFill patternType="solid">
        <fgColor rgb="FFC62828"/>
        <bgColor rgb="FFC62828"/>
      </patternFill>
    </fill>
    <fill>
      <patternFill patternType="solid">
        <fgColor rgb="FF1565C0"/>
        <bgColor rgb="FF1565C0"/>
      </patternFill>
    </fill>
  </fills>
  <borders count="11">
    <border/>
    <border>
      <left style="thin">
        <color rgb="FFCFD8DC"/>
      </left>
      <top style="thin">
        <color rgb="FFCFD8DC"/>
      </top>
      <bottom style="thin">
        <color rgb="FFCFD8DC"/>
      </bottom>
    </border>
    <border>
      <top style="thin">
        <color rgb="FFCFD8DC"/>
      </top>
      <bottom style="thin">
        <color rgb="FFCFD8DC"/>
      </bottom>
    </border>
    <border>
      <right/>
      <top style="thin">
        <color rgb="FFCFD8DC"/>
      </top>
      <bottom style="thin">
        <color rgb="FFCFD8D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FD8DC"/>
      </left>
      <top style="medium">
        <color rgb="FF90A4AE"/>
      </top>
      <bottom style="medium">
        <color rgb="FF90A4AE"/>
      </bottom>
    </border>
    <border>
      <right/>
      <top style="medium">
        <color rgb="FF90A4AE"/>
      </top>
      <bottom style="medium">
        <color rgb="FF90A4AE"/>
      </bottom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  <border>
      <left style="thin">
        <color rgb="FFCFD8DC"/>
      </left>
      <right style="thin">
        <color rgb="FFCFD8DC"/>
      </right>
      <top style="medium">
        <color rgb="FF90A4AE"/>
      </top>
      <bottom style="medium">
        <color rgb="FF90A4AE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shrinkToFit="0" vertical="bottom" wrapText="0"/>
    </xf>
    <xf borderId="1" fillId="4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0"/>
    </xf>
    <xf borderId="1" fillId="5" fontId="7" numFmtId="164" xfId="0" applyAlignment="1" applyBorder="1" applyFill="1" applyFont="1" applyNumberForma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7" fontId="7" numFmtId="164" xfId="0" applyAlignment="1" applyBorder="1" applyFill="1" applyFont="1" applyNumberFormat="1">
      <alignment horizontal="center" shrinkToFit="0" vertical="center" wrapText="0"/>
    </xf>
    <xf borderId="1" fillId="8" fontId="6" numFmtId="0" xfId="0" applyAlignment="1" applyBorder="1" applyFill="1" applyFont="1">
      <alignment horizontal="center" shrinkToFit="0" vertical="center" wrapText="0"/>
    </xf>
    <xf borderId="1" fillId="9" fontId="7" numFmtId="164" xfId="0" applyAlignment="1" applyBorder="1" applyFill="1" applyFont="1" applyNumberForma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7" fillId="5" fontId="9" numFmtId="164" xfId="0" applyAlignment="1" applyBorder="1" applyFont="1" applyNumberFormat="1">
      <alignment horizontal="center" shrinkToFit="0" vertical="center" wrapText="0"/>
    </xf>
    <xf borderId="8" fillId="0" fontId="2" numFmtId="0" xfId="0" applyBorder="1" applyFont="1"/>
    <xf borderId="0" fillId="0" fontId="10" numFmtId="0" xfId="0" applyAlignment="1" applyFont="1">
      <alignment shrinkToFit="0" vertical="bottom" wrapText="0"/>
    </xf>
    <xf borderId="9" fillId="0" fontId="11" numFmtId="164" xfId="0" applyAlignment="1" applyBorder="1" applyFont="1" applyNumberFormat="1">
      <alignment horizontal="right" shrinkToFit="0" vertical="center" wrapText="0"/>
    </xf>
    <xf borderId="4" fillId="10" fontId="12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horizontal="center" shrinkToFit="0" vertical="center" wrapText="1"/>
    </xf>
    <xf borderId="9" fillId="4" fontId="15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horizontal="center" readingOrder="0" shrinkToFit="0" vertical="center" wrapText="1"/>
    </xf>
    <xf borderId="9" fillId="0" fontId="16" numFmtId="0" xfId="0" applyAlignment="1" applyBorder="1" applyFont="1">
      <alignment horizontal="left" shrinkToFit="0" vertical="center" wrapText="0"/>
    </xf>
    <xf borderId="9" fillId="0" fontId="17" numFmtId="0" xfId="0" applyAlignment="1" applyBorder="1" applyFont="1">
      <alignment horizontal="center" shrinkToFit="0" vertical="center" wrapText="0"/>
    </xf>
    <xf borderId="9" fillId="11" fontId="11" numFmtId="165" xfId="0" applyAlignment="1" applyBorder="1" applyFill="1" applyFont="1" applyNumberFormat="1">
      <alignment horizontal="right" readingOrder="0" shrinkToFit="0" vertical="center" wrapText="0"/>
    </xf>
    <xf borderId="9" fillId="11" fontId="11" numFmtId="166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12" fontId="18" numFmtId="0" xfId="0" applyAlignment="1" applyFill="1" applyFont="1">
      <alignment readingOrder="0"/>
    </xf>
    <xf borderId="9" fillId="13" fontId="19" numFmtId="0" xfId="0" applyAlignment="1" applyBorder="1" applyFill="1" applyFont="1">
      <alignment horizontal="left" shrinkToFit="0" vertical="center" wrapText="0"/>
    </xf>
    <xf borderId="9" fillId="13" fontId="11" numFmtId="0" xfId="0" applyAlignment="1" applyBorder="1" applyFont="1">
      <alignment horizontal="center" shrinkToFit="0" vertical="center" wrapText="0"/>
    </xf>
    <xf borderId="9" fillId="0" fontId="11" numFmtId="167" xfId="0" applyAlignment="1" applyBorder="1" applyFont="1" applyNumberFormat="1">
      <alignment horizontal="right" readingOrder="0" shrinkToFit="0" vertical="center" wrapText="0"/>
    </xf>
    <xf borderId="9" fillId="0" fontId="11" numFmtId="165" xfId="0" applyAlignment="1" applyBorder="1" applyFont="1" applyNumberFormat="1">
      <alignment horizontal="right" shrinkToFit="0" vertical="center" wrapText="0"/>
    </xf>
    <xf quotePrefix="1" borderId="9" fillId="0" fontId="11" numFmtId="0" xfId="0" applyAlignment="1" applyBorder="1" applyFont="1">
      <alignment horizontal="center" readingOrder="0" shrinkToFit="0" vertical="center" wrapText="0"/>
    </xf>
    <xf borderId="0" fillId="0" fontId="20" numFmtId="166" xfId="0" applyAlignment="1" applyFont="1" applyNumberFormat="1">
      <alignment readingOrder="0"/>
    </xf>
    <xf borderId="9" fillId="14" fontId="19" numFmtId="0" xfId="0" applyAlignment="1" applyBorder="1" applyFill="1" applyFont="1">
      <alignment horizontal="left" shrinkToFit="0" vertical="center" wrapText="0"/>
    </xf>
    <xf borderId="9" fillId="14" fontId="11" numFmtId="0" xfId="0" applyAlignment="1" applyBorder="1" applyFont="1">
      <alignment horizontal="center" shrinkToFit="0" vertical="center" wrapText="0"/>
    </xf>
    <xf borderId="9" fillId="0" fontId="11" numFmtId="167" xfId="0" applyAlignment="1" applyBorder="1" applyFont="1" applyNumberFormat="1">
      <alignment horizontal="right" shrinkToFit="0" vertical="center" wrapText="0"/>
    </xf>
    <xf borderId="9" fillId="0" fontId="11" numFmtId="168" xfId="0" applyAlignment="1" applyBorder="1" applyFont="1" applyNumberFormat="1">
      <alignment horizontal="center" shrinkToFit="0" vertical="center" wrapText="0"/>
    </xf>
    <xf borderId="0" fillId="0" fontId="20" numFmtId="0" xfId="0" applyFont="1"/>
    <xf borderId="1" fillId="2" fontId="5" numFmtId="0" xfId="0" applyAlignment="1" applyBorder="1" applyFont="1">
      <alignment horizontal="center" shrinkToFit="0" vertical="center" wrapText="0"/>
    </xf>
    <xf borderId="10" fillId="5" fontId="21" numFmtId="164" xfId="0" applyAlignment="1" applyBorder="1" applyFont="1" applyNumberFormat="1">
      <alignment horizontal="right" shrinkToFit="0" vertical="center" wrapText="0"/>
    </xf>
    <xf borderId="9" fillId="5" fontId="4" numFmtId="0" xfId="0" applyAlignment="1" applyBorder="1" applyFont="1">
      <alignment shrinkToFit="0" vertical="bottom" wrapText="0"/>
    </xf>
    <xf borderId="0" fillId="0" fontId="22" numFmtId="166" xfId="0" applyAlignment="1" applyFont="1" applyNumberFormat="1">
      <alignment readingOrder="0"/>
    </xf>
    <xf borderId="9" fillId="11" fontId="23" numFmtId="49" xfId="0" applyAlignment="1" applyBorder="1" applyFont="1" applyNumberFormat="1">
      <alignment horizontal="left" shrinkToFit="0" vertical="center" wrapText="0"/>
    </xf>
    <xf borderId="9" fillId="11" fontId="24" numFmtId="49" xfId="0" applyAlignment="1" applyBorder="1" applyFont="1" applyNumberFormat="1">
      <alignment horizontal="left" shrinkToFit="0" vertical="center" wrapText="0"/>
    </xf>
    <xf borderId="9" fillId="11" fontId="24" numFmtId="169" xfId="0" applyAlignment="1" applyBorder="1" applyFont="1" applyNumberFormat="1">
      <alignment horizontal="right" readingOrder="0" shrinkToFit="0" vertical="center" wrapText="0"/>
    </xf>
    <xf borderId="9" fillId="11" fontId="24" numFmtId="167" xfId="0" applyAlignment="1" applyBorder="1" applyFont="1" applyNumberFormat="1">
      <alignment horizontal="right" readingOrder="0" shrinkToFit="0" vertical="center" wrapText="0"/>
    </xf>
    <xf borderId="9" fillId="11" fontId="24" numFmtId="164" xfId="0" applyAlignment="1" applyBorder="1" applyFont="1" applyNumberFormat="1">
      <alignment horizontal="right" shrinkToFit="0" vertical="center" wrapText="0"/>
    </xf>
    <xf quotePrefix="1" borderId="0" fillId="0" fontId="22" numFmtId="0" xfId="0" applyAlignment="1" applyFont="1">
      <alignment readingOrder="0"/>
    </xf>
    <xf borderId="0" fillId="0" fontId="22" numFmtId="170" xfId="0" applyAlignment="1" applyFont="1" applyNumberFormat="1">
      <alignment readingOrder="0"/>
    </xf>
    <xf borderId="9" fillId="11" fontId="24" numFmtId="169" xfId="0" applyAlignment="1" applyBorder="1" applyFont="1" applyNumberFormat="1">
      <alignment horizontal="right" shrinkToFit="0" vertical="center" wrapText="0"/>
    </xf>
    <xf borderId="9" fillId="11" fontId="24" numFmtId="167" xfId="0" applyAlignment="1" applyBorder="1" applyFont="1" applyNumberFormat="1">
      <alignment horizontal="right" shrinkToFit="0" vertical="center" wrapText="0"/>
    </xf>
    <xf borderId="9" fillId="11" fontId="24" numFmtId="164" xfId="0" applyAlignment="1" applyBorder="1" applyFont="1" applyNumberFormat="1">
      <alignment horizontal="right" readingOrder="0" shrinkToFit="0" vertical="center" wrapText="0"/>
    </xf>
    <xf borderId="1" fillId="8" fontId="13" numFmtId="0" xfId="0" applyAlignment="1" applyBorder="1" applyFont="1">
      <alignment horizontal="center" shrinkToFit="0" vertical="center" wrapText="1"/>
    </xf>
    <xf borderId="9" fillId="15" fontId="14" numFmtId="0" xfId="0" applyAlignment="1" applyBorder="1" applyFill="1" applyFont="1">
      <alignment horizontal="center" shrinkToFit="0" vertical="center" wrapText="1"/>
    </xf>
    <xf borderId="0" fillId="15" fontId="18" numFmtId="0" xfId="0" applyAlignment="1" applyFont="1">
      <alignment readingOrder="0"/>
    </xf>
    <xf borderId="9" fillId="11" fontId="23" numFmtId="49" xfId="0" applyAlignment="1" applyBorder="1" applyFont="1" applyNumberFormat="1">
      <alignment horizontal="left" readingOrder="0" shrinkToFit="0" vertical="center" wrapText="0"/>
    </xf>
    <xf borderId="1" fillId="8" fontId="5" numFmtId="0" xfId="0" applyAlignment="1" applyBorder="1" applyFont="1">
      <alignment horizontal="center" shrinkToFit="0" vertical="center" wrapText="0"/>
    </xf>
    <xf borderId="10" fillId="9" fontId="25" numFmtId="164" xfId="0" applyAlignment="1" applyBorder="1" applyFont="1" applyNumberFormat="1">
      <alignment horizontal="right" shrinkToFit="0" vertical="center" wrapText="0"/>
    </xf>
    <xf borderId="1" fillId="16" fontId="13" numFmtId="0" xfId="0" applyAlignment="1" applyBorder="1" applyFill="1" applyFont="1">
      <alignment horizontal="center" shrinkToFit="0" vertical="center" wrapText="1"/>
    </xf>
    <xf borderId="9" fillId="6" fontId="14" numFmtId="0" xfId="0" applyAlignment="1" applyBorder="1" applyFont="1">
      <alignment horizontal="center" shrinkToFit="0" vertical="center" wrapText="1"/>
    </xf>
    <xf borderId="0" fillId="6" fontId="18" numFmtId="0" xfId="0" applyAlignment="1" applyFont="1">
      <alignment readingOrder="0"/>
    </xf>
    <xf borderId="1" fillId="16" fontId="5" numFmtId="0" xfId="0" applyAlignment="1" applyBorder="1" applyFont="1">
      <alignment horizontal="center" shrinkToFit="0" vertical="center" wrapText="0"/>
    </xf>
    <xf borderId="10" fillId="7" fontId="26" numFmtId="164" xfId="0" applyAlignment="1" applyBorder="1" applyFont="1" applyNumberFormat="1">
      <alignment horizontal="right" shrinkToFit="0" vertical="center" wrapText="0"/>
    </xf>
    <xf borderId="9" fillId="11" fontId="24" numFmtId="168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資產配置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'總覽'!$I$14:$I$17</c:f>
            </c:strRef>
          </c:cat>
          <c:val>
            <c:numRef>
              <c:f>'總覽'!$J$14:$J$17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457700" cy="3714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3" width="18.0"/>
    <col customWidth="1" min="4" max="4" width="3.0"/>
    <col customWidth="1" min="5" max="6" width="18.0"/>
    <col customWidth="1" min="7" max="7" width="3.0"/>
    <col customWidth="1" min="8" max="8" width="8.71"/>
    <col customWidth="1" min="9" max="9" width="8.0"/>
    <col customWidth="1" min="10" max="10" width="10.71"/>
    <col customWidth="1" min="11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5"/>
      <c r="C2" s="5"/>
      <c r="D2" s="5"/>
      <c r="E2" s="5"/>
      <c r="F2" s="5"/>
      <c r="G2" s="6"/>
    </row>
    <row r="3">
      <c r="A3" s="7"/>
      <c r="B3" s="7"/>
      <c r="C3" s="7"/>
      <c r="D3" s="7"/>
      <c r="E3" s="7"/>
      <c r="F3" s="7"/>
      <c r="G3" s="7"/>
    </row>
    <row r="4" ht="21.75" customHeight="1">
      <c r="A4" s="8" t="s">
        <v>2</v>
      </c>
      <c r="B4" s="2"/>
      <c r="C4" s="2"/>
      <c r="D4" s="2"/>
      <c r="E4" s="2"/>
      <c r="F4" s="2"/>
      <c r="G4" s="3"/>
    </row>
    <row r="5" ht="25.5" customHeight="1">
      <c r="A5" s="7"/>
      <c r="B5" s="9" t="s">
        <v>3</v>
      </c>
      <c r="C5" s="3"/>
      <c r="D5" s="7"/>
      <c r="E5" s="10">
        <f>'現金帳戶'!E15</f>
        <v>18194500</v>
      </c>
      <c r="F5" s="3"/>
      <c r="G5" s="7"/>
    </row>
    <row r="6" ht="25.5" customHeight="1">
      <c r="A6" s="7"/>
      <c r="B6" s="9" t="s">
        <v>4</v>
      </c>
      <c r="C6" s="3"/>
      <c r="D6" s="7"/>
      <c r="E6" s="10">
        <f>'投資'!H33</f>
        <v>1431961.167</v>
      </c>
      <c r="F6" s="3"/>
      <c r="G6" s="7"/>
    </row>
    <row r="7" ht="25.5" customHeight="1">
      <c r="A7" s="7"/>
      <c r="B7" s="9" t="s">
        <v>5</v>
      </c>
      <c r="C7" s="3"/>
      <c r="D7" s="7"/>
      <c r="E7" s="10">
        <f>'固定資產'!E8</f>
        <v>500000</v>
      </c>
      <c r="F7" s="3"/>
      <c r="G7" s="7"/>
    </row>
    <row r="8" ht="25.5" customHeight="1">
      <c r="A8" s="7"/>
      <c r="B8" s="11" t="s">
        <v>6</v>
      </c>
      <c r="C8" s="3"/>
      <c r="D8" s="7"/>
      <c r="E8" s="12">
        <f>'應收款'!E8</f>
        <v>5000000</v>
      </c>
      <c r="F8" s="3"/>
      <c r="G8" s="7"/>
    </row>
    <row r="9" ht="25.5" customHeight="1">
      <c r="A9" s="7"/>
      <c r="B9" s="13" t="s">
        <v>7</v>
      </c>
      <c r="C9" s="3"/>
      <c r="D9" s="7"/>
      <c r="E9" s="14">
        <f>'負債'!E11</f>
        <v>3000000</v>
      </c>
      <c r="F9" s="3"/>
      <c r="G9" s="7"/>
    </row>
    <row r="10" ht="7.5" customHeight="1">
      <c r="A10" s="7"/>
      <c r="B10" s="7"/>
      <c r="C10" s="7"/>
      <c r="D10" s="7"/>
      <c r="E10" s="7"/>
      <c r="F10" s="7"/>
      <c r="G10" s="7"/>
    </row>
    <row r="11" ht="31.5" customHeight="1">
      <c r="A11" s="7"/>
      <c r="B11" s="15" t="s">
        <v>8</v>
      </c>
      <c r="C11" s="3"/>
      <c r="D11" s="7"/>
      <c r="E11" s="16">
        <f>'現金帳戶'!E15+'投資'!H33+'固定資產'!E8+'應收款'!E8</f>
        <v>25126461.17</v>
      </c>
      <c r="F11" s="17"/>
      <c r="G11" s="7"/>
    </row>
    <row r="12" ht="31.5" customHeight="1">
      <c r="A12" s="7"/>
      <c r="B12" s="15" t="s">
        <v>9</v>
      </c>
      <c r="C12" s="3"/>
      <c r="D12" s="7"/>
      <c r="E12" s="16">
        <f>'現金帳戶'!E15+'投資'!H33+'固定資產'!E8+'應收款'!E8-'負債'!E11</f>
        <v>22126461.17</v>
      </c>
      <c r="F12" s="17"/>
      <c r="G12" s="7"/>
    </row>
    <row r="13">
      <c r="A13" s="7"/>
      <c r="B13" s="7"/>
      <c r="C13" s="7"/>
      <c r="D13" s="7"/>
      <c r="E13" s="7"/>
      <c r="F13" s="7"/>
      <c r="G13" s="7"/>
    </row>
    <row r="14" ht="13.5" customHeight="1">
      <c r="A14" s="7"/>
      <c r="B14" s="7"/>
      <c r="C14" s="7"/>
      <c r="D14" s="7"/>
      <c r="E14" s="7"/>
      <c r="F14" s="7"/>
      <c r="G14" s="7"/>
      <c r="I14" s="18" t="s">
        <v>10</v>
      </c>
      <c r="J14" s="19">
        <f>'現金帳戶'!E15</f>
        <v>18194500</v>
      </c>
    </row>
    <row r="15" ht="15.0" customHeight="1">
      <c r="A15" s="7"/>
      <c r="B15" s="7"/>
      <c r="C15" s="7"/>
      <c r="D15" s="7"/>
      <c r="E15" s="7"/>
      <c r="F15" s="7"/>
      <c r="G15" s="7"/>
      <c r="I15" s="18" t="s">
        <v>11</v>
      </c>
      <c r="J15" s="19">
        <f>'投資'!H33</f>
        <v>1431961.167</v>
      </c>
    </row>
    <row r="16" ht="15.0" customHeight="1">
      <c r="A16" s="7"/>
      <c r="B16" s="7"/>
      <c r="C16" s="7"/>
      <c r="D16" s="7"/>
      <c r="E16" s="7"/>
      <c r="F16" s="7"/>
      <c r="G16" s="7"/>
      <c r="I16" s="18" t="s">
        <v>12</v>
      </c>
      <c r="J16" s="19">
        <f>'固定資產'!E8</f>
        <v>500000</v>
      </c>
    </row>
    <row r="17" ht="15.0" customHeight="1">
      <c r="A17" s="7"/>
      <c r="B17" s="7"/>
      <c r="C17" s="7"/>
      <c r="D17" s="7"/>
      <c r="E17" s="7"/>
      <c r="F17" s="7"/>
      <c r="G17" s="7"/>
      <c r="I17" s="18" t="s">
        <v>13</v>
      </c>
      <c r="J17" s="19">
        <f>'應收款'!E8</f>
        <v>5000000</v>
      </c>
    </row>
    <row r="18">
      <c r="A18" s="7"/>
      <c r="B18" s="7"/>
      <c r="C18" s="7"/>
      <c r="D18" s="7"/>
      <c r="E18" s="7"/>
      <c r="F18" s="7"/>
      <c r="G18" s="7"/>
    </row>
    <row r="19" ht="18.0" customHeight="1">
      <c r="A19" s="20" t="s">
        <v>14</v>
      </c>
      <c r="B19" s="5"/>
      <c r="C19" s="5"/>
      <c r="D19" s="5"/>
      <c r="E19" s="5"/>
      <c r="F19" s="5"/>
      <c r="G19" s="6"/>
    </row>
    <row r="20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>
      <c r="A32" s="7"/>
      <c r="B32" s="7"/>
      <c r="C32" s="7"/>
      <c r="D32" s="7"/>
      <c r="E32" s="7"/>
      <c r="F32" s="7"/>
      <c r="G32" s="7"/>
    </row>
    <row r="33" ht="15.75" customHeight="1">
      <c r="A33" s="7"/>
      <c r="B33" s="7"/>
      <c r="C33" s="7"/>
      <c r="D33" s="7"/>
      <c r="E33" s="7"/>
      <c r="F33" s="7"/>
      <c r="G33" s="7"/>
    </row>
    <row r="34" ht="15.75" customHeight="1">
      <c r="A34" s="7"/>
      <c r="B34" s="7"/>
      <c r="C34" s="7"/>
      <c r="D34" s="7"/>
      <c r="E34" s="7"/>
      <c r="F34" s="7"/>
      <c r="G34" s="7"/>
    </row>
    <row r="35" ht="15.75" customHeight="1">
      <c r="A35" s="7"/>
      <c r="B35" s="7"/>
      <c r="C35" s="7"/>
      <c r="D35" s="7"/>
      <c r="E35" s="7"/>
      <c r="F35" s="7"/>
      <c r="G35" s="7"/>
    </row>
    <row r="36" ht="15.75" customHeight="1">
      <c r="A36" s="7"/>
      <c r="B36" s="7"/>
      <c r="C36" s="7"/>
      <c r="D36" s="7"/>
      <c r="E36" s="7"/>
      <c r="F36" s="7"/>
      <c r="G36" s="7"/>
    </row>
    <row r="37" ht="15.75" customHeight="1">
      <c r="A37" s="7"/>
      <c r="B37" s="7"/>
      <c r="C37" s="7"/>
      <c r="D37" s="7"/>
      <c r="E37" s="7"/>
      <c r="F37" s="7"/>
      <c r="G37" s="7"/>
    </row>
    <row r="38" ht="15.75" customHeight="1">
      <c r="A38" s="7"/>
      <c r="B38" s="7"/>
      <c r="C38" s="7"/>
      <c r="D38" s="7"/>
      <c r="E38" s="7"/>
      <c r="F38" s="7"/>
      <c r="G38" s="7"/>
    </row>
    <row r="39" ht="15.75" customHeight="1">
      <c r="A39" s="7"/>
      <c r="B39" s="7"/>
      <c r="C39" s="7"/>
      <c r="D39" s="7"/>
      <c r="E39" s="7"/>
      <c r="F39" s="7"/>
      <c r="G39" s="7"/>
    </row>
    <row r="40" ht="15.75" customHeight="1">
      <c r="A40" s="7"/>
      <c r="B40" s="7"/>
      <c r="C40" s="7"/>
      <c r="D40" s="7"/>
      <c r="E40" s="7"/>
      <c r="F40" s="7"/>
      <c r="G40" s="7"/>
    </row>
    <row r="41" ht="15.75" customHeight="1">
      <c r="A41" s="7"/>
      <c r="B41" s="7"/>
      <c r="C41" s="7"/>
      <c r="D41" s="7"/>
      <c r="E41" s="7"/>
      <c r="F41" s="7"/>
      <c r="G41" s="7"/>
    </row>
    <row r="42" ht="15.75" customHeight="1">
      <c r="A42" s="7"/>
      <c r="B42" s="7"/>
      <c r="C42" s="7"/>
      <c r="D42" s="7"/>
      <c r="E42" s="7"/>
      <c r="F42" s="7"/>
      <c r="G42" s="7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>
      <c r="A224" s="7"/>
      <c r="B224" s="7"/>
      <c r="C224" s="7"/>
      <c r="D224" s="7"/>
      <c r="E224" s="7"/>
      <c r="F224" s="7"/>
      <c r="G224" s="7"/>
    </row>
    <row r="225" ht="15.75" customHeight="1">
      <c r="A225" s="7"/>
      <c r="B225" s="7"/>
      <c r="C225" s="7"/>
      <c r="D225" s="7"/>
      <c r="E225" s="7"/>
      <c r="F225" s="7"/>
      <c r="G225" s="7"/>
    </row>
    <row r="226" ht="15.75" customHeight="1">
      <c r="A226" s="7"/>
      <c r="B226" s="7"/>
      <c r="C226" s="7"/>
      <c r="D226" s="7"/>
      <c r="E226" s="7"/>
      <c r="F226" s="7"/>
      <c r="G226" s="7"/>
    </row>
    <row r="227" ht="15.75" customHeight="1">
      <c r="A227" s="7"/>
      <c r="B227" s="7"/>
      <c r="C227" s="7"/>
      <c r="D227" s="7"/>
      <c r="E227" s="7"/>
      <c r="F227" s="7"/>
      <c r="G227" s="7"/>
    </row>
    <row r="228" ht="15.75" customHeight="1">
      <c r="A228" s="7"/>
      <c r="B228" s="7"/>
      <c r="C228" s="7"/>
      <c r="D228" s="7"/>
      <c r="E228" s="7"/>
      <c r="F228" s="7"/>
      <c r="G228" s="7"/>
    </row>
    <row r="229" ht="15.75" customHeight="1">
      <c r="A229" s="7"/>
      <c r="B229" s="7"/>
      <c r="C229" s="7"/>
      <c r="D229" s="7"/>
      <c r="E229" s="7"/>
      <c r="F229" s="7"/>
      <c r="G229" s="7"/>
    </row>
    <row r="230" ht="15.75" customHeight="1">
      <c r="A230" s="7"/>
      <c r="B230" s="7"/>
      <c r="C230" s="7"/>
      <c r="D230" s="7"/>
      <c r="E230" s="7"/>
      <c r="F230" s="7"/>
      <c r="G230" s="7"/>
    </row>
    <row r="231" ht="15.75" customHeight="1">
      <c r="A231" s="7"/>
      <c r="B231" s="7"/>
      <c r="C231" s="7"/>
      <c r="D231" s="7"/>
      <c r="E231" s="7"/>
      <c r="F231" s="7"/>
      <c r="G231" s="7"/>
    </row>
    <row r="232" ht="15.75" customHeight="1">
      <c r="A232" s="7"/>
      <c r="B232" s="7"/>
      <c r="C232" s="7"/>
      <c r="D232" s="7"/>
      <c r="E232" s="7"/>
      <c r="F232" s="7"/>
      <c r="G232" s="7"/>
    </row>
    <row r="233" ht="15.75" customHeight="1">
      <c r="A233" s="7"/>
      <c r="B233" s="7"/>
      <c r="C233" s="7"/>
      <c r="D233" s="7"/>
      <c r="E233" s="7"/>
      <c r="F233" s="7"/>
      <c r="G233" s="7"/>
    </row>
    <row r="234" ht="15.75" customHeight="1">
      <c r="A234" s="7"/>
      <c r="B234" s="7"/>
      <c r="C234" s="7"/>
      <c r="D234" s="7"/>
      <c r="E234" s="7"/>
      <c r="F234" s="7"/>
      <c r="G234" s="7"/>
    </row>
    <row r="235" ht="15.75" customHeight="1">
      <c r="A235" s="7"/>
      <c r="B235" s="7"/>
      <c r="C235" s="7"/>
      <c r="D235" s="7"/>
      <c r="E235" s="7"/>
      <c r="F235" s="7"/>
      <c r="G235" s="7"/>
    </row>
    <row r="236" ht="15.75" customHeight="1">
      <c r="A236" s="7"/>
      <c r="B236" s="7"/>
      <c r="C236" s="7"/>
      <c r="D236" s="7"/>
      <c r="E236" s="7"/>
      <c r="F236" s="7"/>
      <c r="G236" s="7"/>
    </row>
    <row r="237" ht="15.75" customHeight="1">
      <c r="A237" s="7"/>
      <c r="B237" s="7"/>
      <c r="C237" s="7"/>
      <c r="D237" s="7"/>
      <c r="E237" s="7"/>
      <c r="F237" s="7"/>
      <c r="G237" s="7"/>
    </row>
    <row r="238" ht="15.75" customHeight="1">
      <c r="A238" s="7"/>
      <c r="B238" s="7"/>
      <c r="C238" s="7"/>
      <c r="D238" s="7"/>
      <c r="E238" s="7"/>
      <c r="F238" s="7"/>
      <c r="G238" s="7"/>
    </row>
    <row r="239" ht="15.75" customHeight="1">
      <c r="A239" s="7"/>
      <c r="B239" s="7"/>
      <c r="C239" s="7"/>
      <c r="D239" s="7"/>
      <c r="E239" s="7"/>
      <c r="F239" s="7"/>
      <c r="G239" s="7"/>
    </row>
    <row r="240" ht="15.75" customHeight="1">
      <c r="A240" s="7"/>
      <c r="B240" s="7"/>
      <c r="C240" s="7"/>
      <c r="D240" s="7"/>
      <c r="E240" s="7"/>
      <c r="F240" s="7"/>
      <c r="G240" s="7"/>
    </row>
    <row r="241" ht="15.75" customHeight="1">
      <c r="A241" s="7"/>
      <c r="B241" s="7"/>
      <c r="C241" s="7"/>
      <c r="D241" s="7"/>
      <c r="E241" s="7"/>
      <c r="F241" s="7"/>
      <c r="G241" s="7"/>
    </row>
    <row r="242" ht="15.75" customHeight="1">
      <c r="A242" s="7"/>
      <c r="B242" s="7"/>
      <c r="C242" s="7"/>
      <c r="D242" s="7"/>
      <c r="E242" s="7"/>
      <c r="F242" s="7"/>
      <c r="G242" s="7"/>
    </row>
    <row r="243" ht="15.75" customHeight="1">
      <c r="A243" s="7"/>
      <c r="B243" s="7"/>
      <c r="C243" s="7"/>
      <c r="D243" s="7"/>
      <c r="E243" s="7"/>
      <c r="F243" s="7"/>
      <c r="G243" s="7"/>
    </row>
    <row r="244" ht="15.75" customHeight="1">
      <c r="A244" s="7"/>
      <c r="B244" s="7"/>
      <c r="C244" s="7"/>
      <c r="D244" s="7"/>
      <c r="E244" s="7"/>
      <c r="F244" s="7"/>
      <c r="G244" s="7"/>
    </row>
    <row r="245" ht="15.75" customHeight="1">
      <c r="A245" s="7"/>
      <c r="B245" s="7"/>
      <c r="C245" s="7"/>
      <c r="D245" s="7"/>
      <c r="E245" s="7"/>
      <c r="F245" s="7"/>
      <c r="G245" s="7"/>
    </row>
    <row r="246" ht="15.75" customHeight="1">
      <c r="A246" s="7"/>
      <c r="B246" s="7"/>
      <c r="C246" s="7"/>
      <c r="D246" s="7"/>
      <c r="E246" s="7"/>
      <c r="F246" s="7"/>
      <c r="G246" s="7"/>
    </row>
    <row r="247" ht="15.75" customHeight="1">
      <c r="A247" s="7"/>
      <c r="B247" s="7"/>
      <c r="C247" s="7"/>
      <c r="D247" s="7"/>
      <c r="E247" s="7"/>
      <c r="F247" s="7"/>
      <c r="G247" s="7"/>
    </row>
    <row r="248" ht="15.75" customHeight="1">
      <c r="A248" s="7"/>
      <c r="B248" s="7"/>
      <c r="C248" s="7"/>
      <c r="D248" s="7"/>
      <c r="E248" s="7"/>
      <c r="F248" s="7"/>
      <c r="G248" s="7"/>
    </row>
    <row r="249" ht="15.75" customHeight="1">
      <c r="A249" s="7"/>
      <c r="B249" s="7"/>
      <c r="C249" s="7"/>
      <c r="D249" s="7"/>
      <c r="E249" s="7"/>
      <c r="F249" s="7"/>
      <c r="G249" s="7"/>
    </row>
    <row r="250" ht="15.75" customHeight="1">
      <c r="A250" s="7"/>
      <c r="B250" s="7"/>
      <c r="C250" s="7"/>
      <c r="D250" s="7"/>
      <c r="E250" s="7"/>
      <c r="F250" s="7"/>
      <c r="G250" s="7"/>
    </row>
    <row r="251" ht="15.75" customHeight="1">
      <c r="A251" s="7"/>
      <c r="B251" s="7"/>
      <c r="C251" s="7"/>
      <c r="D251" s="7"/>
      <c r="E251" s="7"/>
      <c r="F251" s="7"/>
      <c r="G251" s="7"/>
    </row>
    <row r="252" ht="15.75" customHeight="1">
      <c r="A252" s="7"/>
      <c r="B252" s="7"/>
      <c r="C252" s="7"/>
      <c r="D252" s="7"/>
      <c r="E252" s="7"/>
      <c r="F252" s="7"/>
      <c r="G252" s="7"/>
    </row>
    <row r="253" ht="15.75" customHeight="1">
      <c r="A253" s="7"/>
      <c r="B253" s="7"/>
      <c r="C253" s="7"/>
      <c r="D253" s="7"/>
      <c r="E253" s="7"/>
      <c r="F253" s="7"/>
      <c r="G253" s="7"/>
    </row>
    <row r="254" ht="15.75" customHeight="1">
      <c r="A254" s="7"/>
      <c r="B254" s="7"/>
      <c r="C254" s="7"/>
      <c r="D254" s="7"/>
      <c r="E254" s="7"/>
      <c r="F254" s="7"/>
      <c r="G254" s="7"/>
    </row>
    <row r="255" ht="15.75" customHeight="1">
      <c r="A255" s="7"/>
      <c r="B255" s="7"/>
      <c r="C255" s="7"/>
      <c r="D255" s="7"/>
      <c r="E255" s="7"/>
      <c r="F255" s="7"/>
      <c r="G255" s="7"/>
    </row>
    <row r="256" ht="15.75" customHeight="1">
      <c r="A256" s="7"/>
      <c r="B256" s="7"/>
      <c r="C256" s="7"/>
      <c r="D256" s="7"/>
      <c r="E256" s="7"/>
      <c r="F256" s="7"/>
      <c r="G256" s="7"/>
    </row>
    <row r="257" ht="15.75" customHeight="1">
      <c r="A257" s="7"/>
      <c r="B257" s="7"/>
      <c r="C257" s="7"/>
      <c r="D257" s="7"/>
      <c r="E257" s="7"/>
      <c r="F257" s="7"/>
      <c r="G257" s="7"/>
    </row>
    <row r="258" ht="15.75" customHeight="1">
      <c r="A258" s="7"/>
      <c r="B258" s="7"/>
      <c r="C258" s="7"/>
      <c r="D258" s="7"/>
      <c r="E258" s="7"/>
      <c r="F258" s="7"/>
      <c r="G258" s="7"/>
    </row>
    <row r="259" ht="15.75" customHeight="1">
      <c r="A259" s="7"/>
      <c r="B259" s="7"/>
      <c r="C259" s="7"/>
      <c r="D259" s="7"/>
      <c r="E259" s="7"/>
      <c r="F259" s="7"/>
      <c r="G259" s="7"/>
    </row>
    <row r="260" ht="15.75" customHeight="1">
      <c r="A260" s="7"/>
      <c r="B260" s="7"/>
      <c r="C260" s="7"/>
      <c r="D260" s="7"/>
      <c r="E260" s="7"/>
      <c r="F260" s="7"/>
      <c r="G260" s="7"/>
    </row>
    <row r="261" ht="15.75" customHeight="1">
      <c r="A261" s="7"/>
      <c r="B261" s="7"/>
      <c r="C261" s="7"/>
      <c r="D261" s="7"/>
      <c r="E261" s="7"/>
      <c r="F261" s="7"/>
      <c r="G261" s="7"/>
    </row>
    <row r="262" ht="15.75" customHeight="1">
      <c r="A262" s="7"/>
      <c r="B262" s="7"/>
      <c r="C262" s="7"/>
      <c r="D262" s="7"/>
      <c r="E262" s="7"/>
      <c r="F262" s="7"/>
      <c r="G262" s="7"/>
    </row>
    <row r="263" ht="15.75" customHeight="1">
      <c r="A263" s="7"/>
      <c r="B263" s="7"/>
      <c r="C263" s="7"/>
      <c r="D263" s="7"/>
      <c r="E263" s="7"/>
      <c r="F263" s="7"/>
      <c r="G263" s="7"/>
    </row>
    <row r="264" ht="15.75" customHeight="1">
      <c r="A264" s="7"/>
      <c r="B264" s="7"/>
      <c r="C264" s="7"/>
      <c r="D264" s="7"/>
      <c r="E264" s="7"/>
      <c r="F264" s="7"/>
      <c r="G264" s="7"/>
    </row>
    <row r="265" ht="15.75" customHeight="1">
      <c r="A265" s="7"/>
      <c r="B265" s="7"/>
      <c r="C265" s="7"/>
      <c r="D265" s="7"/>
      <c r="E265" s="7"/>
      <c r="F265" s="7"/>
      <c r="G265" s="7"/>
    </row>
    <row r="266" ht="15.75" customHeight="1">
      <c r="A266" s="7"/>
      <c r="B266" s="7"/>
      <c r="C266" s="7"/>
      <c r="D266" s="7"/>
      <c r="E266" s="7"/>
      <c r="F266" s="7"/>
      <c r="G266" s="7"/>
    </row>
    <row r="267" ht="15.75" customHeight="1">
      <c r="A267" s="7"/>
      <c r="B267" s="7"/>
      <c r="C267" s="7"/>
      <c r="D267" s="7"/>
      <c r="E267" s="7"/>
      <c r="F267" s="7"/>
      <c r="G267" s="7"/>
    </row>
    <row r="268" ht="15.75" customHeight="1">
      <c r="A268" s="7"/>
      <c r="B268" s="7"/>
      <c r="C268" s="7"/>
      <c r="D268" s="7"/>
      <c r="E268" s="7"/>
      <c r="F268" s="7"/>
      <c r="G268" s="7"/>
    </row>
    <row r="269" ht="15.75" customHeight="1">
      <c r="A269" s="7"/>
      <c r="B269" s="7"/>
      <c r="C269" s="7"/>
      <c r="D269" s="7"/>
      <c r="E269" s="7"/>
      <c r="F269" s="7"/>
      <c r="G269" s="7"/>
    </row>
    <row r="270" ht="15.75" customHeight="1">
      <c r="A270" s="7"/>
      <c r="B270" s="7"/>
      <c r="C270" s="7"/>
      <c r="D270" s="7"/>
      <c r="E270" s="7"/>
      <c r="F270" s="7"/>
      <c r="G270" s="7"/>
    </row>
    <row r="271" ht="15.75" customHeight="1">
      <c r="A271" s="7"/>
      <c r="B271" s="7"/>
      <c r="C271" s="7"/>
      <c r="D271" s="7"/>
      <c r="E271" s="7"/>
      <c r="F271" s="7"/>
      <c r="G271" s="7"/>
    </row>
    <row r="272" ht="15.75" customHeight="1">
      <c r="A272" s="7"/>
      <c r="B272" s="7"/>
      <c r="C272" s="7"/>
      <c r="D272" s="7"/>
      <c r="E272" s="7"/>
      <c r="F272" s="7"/>
      <c r="G272" s="7"/>
    </row>
    <row r="273" ht="15.75" customHeight="1">
      <c r="A273" s="7"/>
      <c r="B273" s="7"/>
      <c r="C273" s="7"/>
      <c r="D273" s="7"/>
      <c r="E273" s="7"/>
      <c r="F273" s="7"/>
      <c r="G273" s="7"/>
    </row>
    <row r="274" ht="15.75" customHeight="1">
      <c r="A274" s="7"/>
      <c r="B274" s="7"/>
      <c r="C274" s="7"/>
      <c r="D274" s="7"/>
      <c r="E274" s="7"/>
      <c r="F274" s="7"/>
      <c r="G274" s="7"/>
    </row>
    <row r="275" ht="15.75" customHeight="1">
      <c r="A275" s="7"/>
      <c r="B275" s="7"/>
      <c r="C275" s="7"/>
      <c r="D275" s="7"/>
      <c r="E275" s="7"/>
      <c r="F275" s="7"/>
      <c r="G275" s="7"/>
    </row>
    <row r="276" ht="15.75" customHeight="1">
      <c r="A276" s="7"/>
      <c r="B276" s="7"/>
      <c r="C276" s="7"/>
      <c r="D276" s="7"/>
      <c r="E276" s="7"/>
      <c r="F276" s="7"/>
      <c r="G276" s="7"/>
    </row>
    <row r="277" ht="15.75" customHeight="1">
      <c r="A277" s="7"/>
      <c r="B277" s="7"/>
      <c r="C277" s="7"/>
      <c r="D277" s="7"/>
      <c r="E277" s="7"/>
      <c r="F277" s="7"/>
      <c r="G277" s="7"/>
    </row>
    <row r="278" ht="15.75" customHeight="1">
      <c r="A278" s="7"/>
      <c r="B278" s="7"/>
      <c r="C278" s="7"/>
      <c r="D278" s="7"/>
      <c r="E278" s="7"/>
      <c r="F278" s="7"/>
      <c r="G278" s="7"/>
    </row>
    <row r="279" ht="15.75" customHeight="1">
      <c r="A279" s="7"/>
      <c r="B279" s="7"/>
      <c r="C279" s="7"/>
      <c r="D279" s="7"/>
      <c r="E279" s="7"/>
      <c r="F279" s="7"/>
      <c r="G279" s="7"/>
    </row>
    <row r="280" ht="15.75" customHeight="1">
      <c r="A280" s="7"/>
      <c r="B280" s="7"/>
      <c r="C280" s="7"/>
      <c r="D280" s="7"/>
      <c r="E280" s="7"/>
      <c r="F280" s="7"/>
      <c r="G280" s="7"/>
    </row>
    <row r="281" ht="15.75" customHeight="1">
      <c r="A281" s="7"/>
      <c r="B281" s="7"/>
      <c r="C281" s="7"/>
      <c r="D281" s="7"/>
      <c r="E281" s="7"/>
      <c r="F281" s="7"/>
      <c r="G281" s="7"/>
    </row>
    <row r="282" ht="15.75" customHeight="1">
      <c r="A282" s="7"/>
      <c r="B282" s="7"/>
      <c r="C282" s="7"/>
      <c r="D282" s="7"/>
      <c r="E282" s="7"/>
      <c r="F282" s="7"/>
      <c r="G282" s="7"/>
    </row>
    <row r="283" ht="15.75" customHeight="1">
      <c r="A283" s="7"/>
      <c r="B283" s="7"/>
      <c r="C283" s="7"/>
      <c r="D283" s="7"/>
      <c r="E283" s="7"/>
      <c r="F283" s="7"/>
      <c r="G283" s="7"/>
    </row>
    <row r="284" ht="15.75" customHeight="1">
      <c r="A284" s="7"/>
      <c r="B284" s="7"/>
      <c r="C284" s="7"/>
      <c r="D284" s="7"/>
      <c r="E284" s="7"/>
      <c r="F284" s="7"/>
      <c r="G284" s="7"/>
    </row>
    <row r="285" ht="15.75" customHeight="1">
      <c r="A285" s="7"/>
      <c r="B285" s="7"/>
      <c r="C285" s="7"/>
      <c r="D285" s="7"/>
      <c r="E285" s="7"/>
      <c r="F285" s="7"/>
      <c r="G285" s="7"/>
    </row>
    <row r="286" ht="15.75" customHeight="1">
      <c r="A286" s="7"/>
      <c r="B286" s="7"/>
      <c r="C286" s="7"/>
      <c r="D286" s="7"/>
      <c r="E286" s="7"/>
      <c r="F286" s="7"/>
      <c r="G286" s="7"/>
    </row>
    <row r="287" ht="15.75" customHeight="1">
      <c r="A287" s="7"/>
      <c r="B287" s="7"/>
      <c r="C287" s="7"/>
      <c r="D287" s="7"/>
      <c r="E287" s="7"/>
      <c r="F287" s="7"/>
      <c r="G287" s="7"/>
    </row>
    <row r="288" ht="15.75" customHeight="1">
      <c r="A288" s="7"/>
      <c r="B288" s="7"/>
      <c r="C288" s="7"/>
      <c r="D288" s="7"/>
      <c r="E288" s="7"/>
      <c r="F288" s="7"/>
      <c r="G288" s="7"/>
    </row>
    <row r="289" ht="15.75" customHeight="1">
      <c r="A289" s="7"/>
      <c r="B289" s="7"/>
      <c r="C289" s="7"/>
      <c r="D289" s="7"/>
      <c r="E289" s="7"/>
      <c r="F289" s="7"/>
      <c r="G289" s="7"/>
    </row>
    <row r="290" ht="15.75" customHeight="1">
      <c r="A290" s="7"/>
      <c r="B290" s="7"/>
      <c r="C290" s="7"/>
      <c r="D290" s="7"/>
      <c r="E290" s="7"/>
      <c r="F290" s="7"/>
      <c r="G290" s="7"/>
    </row>
    <row r="291" ht="15.75" customHeight="1">
      <c r="A291" s="7"/>
      <c r="B291" s="7"/>
      <c r="C291" s="7"/>
      <c r="D291" s="7"/>
      <c r="E291" s="7"/>
      <c r="F291" s="7"/>
      <c r="G291" s="7"/>
    </row>
    <row r="292" ht="15.75" customHeight="1">
      <c r="A292" s="7"/>
      <c r="B292" s="7"/>
      <c r="C292" s="7"/>
      <c r="D292" s="7"/>
      <c r="E292" s="7"/>
      <c r="F292" s="7"/>
      <c r="G292" s="7"/>
    </row>
    <row r="293" ht="15.75" customHeight="1">
      <c r="A293" s="7"/>
      <c r="B293" s="7"/>
      <c r="C293" s="7"/>
      <c r="D293" s="7"/>
      <c r="E293" s="7"/>
      <c r="F293" s="7"/>
      <c r="G293" s="7"/>
    </row>
    <row r="294" ht="15.75" customHeight="1">
      <c r="A294" s="7"/>
      <c r="B294" s="7"/>
      <c r="C294" s="7"/>
      <c r="D294" s="7"/>
      <c r="E294" s="7"/>
      <c r="F294" s="7"/>
      <c r="G294" s="7"/>
    </row>
    <row r="295" ht="15.75" customHeight="1">
      <c r="A295" s="7"/>
      <c r="B295" s="7"/>
      <c r="C295" s="7"/>
      <c r="D295" s="7"/>
      <c r="E295" s="7"/>
      <c r="F295" s="7"/>
      <c r="G295" s="7"/>
    </row>
    <row r="296" ht="15.75" customHeight="1">
      <c r="A296" s="7"/>
      <c r="B296" s="7"/>
      <c r="C296" s="7"/>
      <c r="D296" s="7"/>
      <c r="E296" s="7"/>
      <c r="F296" s="7"/>
      <c r="G296" s="7"/>
    </row>
    <row r="297" ht="15.75" customHeight="1">
      <c r="A297" s="7"/>
      <c r="B297" s="7"/>
      <c r="C297" s="7"/>
      <c r="D297" s="7"/>
      <c r="E297" s="7"/>
      <c r="F297" s="7"/>
      <c r="G297" s="7"/>
    </row>
    <row r="298" ht="15.75" customHeight="1">
      <c r="A298" s="7"/>
      <c r="B298" s="7"/>
      <c r="C298" s="7"/>
      <c r="D298" s="7"/>
      <c r="E298" s="7"/>
      <c r="F298" s="7"/>
      <c r="G298" s="7"/>
    </row>
    <row r="299" ht="15.75" customHeight="1">
      <c r="A299" s="7"/>
      <c r="B299" s="7"/>
      <c r="C299" s="7"/>
      <c r="D299" s="7"/>
      <c r="E299" s="7"/>
      <c r="F299" s="7"/>
      <c r="G299" s="7"/>
    </row>
    <row r="300" ht="15.75" customHeight="1">
      <c r="A300" s="7"/>
      <c r="B300" s="7"/>
      <c r="C300" s="7"/>
      <c r="D300" s="7"/>
      <c r="E300" s="7"/>
      <c r="F300" s="7"/>
      <c r="G300" s="7"/>
    </row>
    <row r="301" ht="15.75" customHeight="1">
      <c r="A301" s="7"/>
      <c r="B301" s="7"/>
      <c r="C301" s="7"/>
      <c r="D301" s="7"/>
      <c r="E301" s="7"/>
      <c r="F301" s="7"/>
      <c r="G301" s="7"/>
    </row>
    <row r="302" ht="15.75" customHeight="1">
      <c r="A302" s="7"/>
      <c r="B302" s="7"/>
      <c r="C302" s="7"/>
      <c r="D302" s="7"/>
      <c r="E302" s="7"/>
      <c r="F302" s="7"/>
      <c r="G302" s="7"/>
    </row>
    <row r="303" ht="15.75" customHeight="1">
      <c r="A303" s="7"/>
      <c r="B303" s="7"/>
      <c r="C303" s="7"/>
      <c r="D303" s="7"/>
      <c r="E303" s="7"/>
      <c r="F303" s="7"/>
      <c r="G303" s="7"/>
    </row>
    <row r="304" ht="15.75" customHeight="1">
      <c r="A304" s="7"/>
      <c r="B304" s="7"/>
      <c r="C304" s="7"/>
      <c r="D304" s="7"/>
      <c r="E304" s="7"/>
      <c r="F304" s="7"/>
      <c r="G304" s="7"/>
    </row>
    <row r="305" ht="15.75" customHeight="1">
      <c r="A305" s="7"/>
      <c r="B305" s="7"/>
      <c r="C305" s="7"/>
      <c r="D305" s="7"/>
      <c r="E305" s="7"/>
      <c r="F305" s="7"/>
      <c r="G305" s="7"/>
    </row>
    <row r="306" ht="15.75" customHeight="1">
      <c r="A306" s="7"/>
      <c r="B306" s="7"/>
      <c r="C306" s="7"/>
      <c r="D306" s="7"/>
      <c r="E306" s="7"/>
      <c r="F306" s="7"/>
      <c r="G306" s="7"/>
    </row>
    <row r="307" ht="15.75" customHeight="1">
      <c r="A307" s="7"/>
      <c r="B307" s="7"/>
      <c r="C307" s="7"/>
      <c r="D307" s="7"/>
      <c r="E307" s="7"/>
      <c r="F307" s="7"/>
      <c r="G307" s="7"/>
    </row>
    <row r="308" ht="15.75" customHeight="1">
      <c r="A308" s="7"/>
      <c r="B308" s="7"/>
      <c r="C308" s="7"/>
      <c r="D308" s="7"/>
      <c r="E308" s="7"/>
      <c r="F308" s="7"/>
      <c r="G308" s="7"/>
    </row>
    <row r="309" ht="15.75" customHeight="1">
      <c r="A309" s="7"/>
      <c r="B309" s="7"/>
      <c r="C309" s="7"/>
      <c r="D309" s="7"/>
      <c r="E309" s="7"/>
      <c r="F309" s="7"/>
      <c r="G309" s="7"/>
    </row>
    <row r="310" ht="15.75" customHeight="1">
      <c r="A310" s="7"/>
      <c r="B310" s="7"/>
      <c r="C310" s="7"/>
      <c r="D310" s="7"/>
      <c r="E310" s="7"/>
      <c r="F310" s="7"/>
      <c r="G310" s="7"/>
    </row>
    <row r="311" ht="15.75" customHeight="1">
      <c r="A311" s="7"/>
      <c r="B311" s="7"/>
      <c r="C311" s="7"/>
      <c r="D311" s="7"/>
      <c r="E311" s="7"/>
      <c r="F311" s="7"/>
      <c r="G311" s="7"/>
    </row>
    <row r="312" ht="15.75" customHeight="1">
      <c r="A312" s="7"/>
      <c r="B312" s="7"/>
      <c r="C312" s="7"/>
      <c r="D312" s="7"/>
      <c r="E312" s="7"/>
      <c r="F312" s="7"/>
      <c r="G312" s="7"/>
    </row>
    <row r="313" ht="15.75" customHeight="1">
      <c r="A313" s="7"/>
      <c r="B313" s="7"/>
      <c r="C313" s="7"/>
      <c r="D313" s="7"/>
      <c r="E313" s="7"/>
      <c r="F313" s="7"/>
      <c r="G313" s="7"/>
    </row>
    <row r="314" ht="15.75" customHeight="1">
      <c r="A314" s="7"/>
      <c r="B314" s="7"/>
      <c r="C314" s="7"/>
      <c r="D314" s="7"/>
      <c r="E314" s="7"/>
      <c r="F314" s="7"/>
      <c r="G314" s="7"/>
    </row>
    <row r="315" ht="15.75" customHeight="1">
      <c r="A315" s="7"/>
      <c r="B315" s="7"/>
      <c r="C315" s="7"/>
      <c r="D315" s="7"/>
      <c r="E315" s="7"/>
      <c r="F315" s="7"/>
      <c r="G315" s="7"/>
    </row>
    <row r="316" ht="15.75" customHeight="1">
      <c r="A316" s="7"/>
      <c r="B316" s="7"/>
      <c r="C316" s="7"/>
      <c r="D316" s="7"/>
      <c r="E316" s="7"/>
      <c r="F316" s="7"/>
      <c r="G316" s="7"/>
    </row>
    <row r="317" ht="15.75" customHeight="1">
      <c r="A317" s="7"/>
      <c r="B317" s="7"/>
      <c r="C317" s="7"/>
      <c r="D317" s="7"/>
      <c r="E317" s="7"/>
      <c r="F317" s="7"/>
      <c r="G317" s="7"/>
    </row>
    <row r="318" ht="15.75" customHeight="1">
      <c r="A318" s="7"/>
      <c r="B318" s="7"/>
      <c r="C318" s="7"/>
      <c r="D318" s="7"/>
      <c r="E318" s="7"/>
      <c r="F318" s="7"/>
      <c r="G318" s="7"/>
    </row>
    <row r="319" ht="15.75" customHeight="1">
      <c r="A319" s="7"/>
      <c r="B319" s="7"/>
      <c r="C319" s="7"/>
      <c r="D319" s="7"/>
      <c r="E319" s="7"/>
      <c r="F319" s="7"/>
      <c r="G319" s="7"/>
    </row>
    <row r="320" ht="15.75" customHeight="1">
      <c r="A320" s="7"/>
      <c r="B320" s="7"/>
      <c r="C320" s="7"/>
      <c r="D320" s="7"/>
      <c r="E320" s="7"/>
      <c r="F320" s="7"/>
      <c r="G320" s="7"/>
    </row>
    <row r="321" ht="15.75" customHeight="1">
      <c r="A321" s="7"/>
      <c r="B321" s="7"/>
      <c r="C321" s="7"/>
      <c r="D321" s="7"/>
      <c r="E321" s="7"/>
      <c r="F321" s="7"/>
      <c r="G321" s="7"/>
    </row>
    <row r="322" ht="15.75" customHeight="1">
      <c r="A322" s="7"/>
      <c r="B322" s="7"/>
      <c r="C322" s="7"/>
      <c r="D322" s="7"/>
      <c r="E322" s="7"/>
      <c r="F322" s="7"/>
      <c r="G322" s="7"/>
    </row>
    <row r="323" ht="15.75" customHeight="1">
      <c r="A323" s="7"/>
      <c r="B323" s="7"/>
      <c r="C323" s="7"/>
      <c r="D323" s="7"/>
      <c r="E323" s="7"/>
      <c r="F323" s="7"/>
      <c r="G323" s="7"/>
    </row>
    <row r="324" ht="15.75" customHeight="1">
      <c r="A324" s="7"/>
      <c r="B324" s="7"/>
      <c r="C324" s="7"/>
      <c r="D324" s="7"/>
      <c r="E324" s="7"/>
      <c r="F324" s="7"/>
      <c r="G324" s="7"/>
    </row>
    <row r="325" ht="15.75" customHeight="1">
      <c r="A325" s="7"/>
      <c r="B325" s="7"/>
      <c r="C325" s="7"/>
      <c r="D325" s="7"/>
      <c r="E325" s="7"/>
      <c r="F325" s="7"/>
      <c r="G325" s="7"/>
    </row>
    <row r="326" ht="15.75" customHeight="1">
      <c r="A326" s="7"/>
      <c r="B326" s="7"/>
      <c r="C326" s="7"/>
      <c r="D326" s="7"/>
      <c r="E326" s="7"/>
      <c r="F326" s="7"/>
      <c r="G326" s="7"/>
    </row>
    <row r="327" ht="15.75" customHeight="1">
      <c r="A327" s="7"/>
      <c r="B327" s="7"/>
      <c r="C327" s="7"/>
      <c r="D327" s="7"/>
      <c r="E327" s="7"/>
      <c r="F327" s="7"/>
      <c r="G327" s="7"/>
    </row>
    <row r="328" ht="15.75" customHeight="1">
      <c r="A328" s="7"/>
      <c r="B328" s="7"/>
      <c r="C328" s="7"/>
      <c r="D328" s="7"/>
      <c r="E328" s="7"/>
      <c r="F328" s="7"/>
      <c r="G328" s="7"/>
    </row>
    <row r="329" ht="15.75" customHeight="1">
      <c r="A329" s="7"/>
      <c r="B329" s="7"/>
      <c r="C329" s="7"/>
      <c r="D329" s="7"/>
      <c r="E329" s="7"/>
      <c r="F329" s="7"/>
      <c r="G329" s="7"/>
    </row>
    <row r="330" ht="15.75" customHeight="1">
      <c r="A330" s="7"/>
      <c r="B330" s="7"/>
      <c r="C330" s="7"/>
      <c r="D330" s="7"/>
      <c r="E330" s="7"/>
      <c r="F330" s="7"/>
      <c r="G330" s="7"/>
    </row>
    <row r="331" ht="15.75" customHeight="1">
      <c r="A331" s="7"/>
      <c r="B331" s="7"/>
      <c r="C331" s="7"/>
      <c r="D331" s="7"/>
      <c r="E331" s="7"/>
      <c r="F331" s="7"/>
      <c r="G331" s="7"/>
    </row>
    <row r="332" ht="15.75" customHeight="1">
      <c r="A332" s="7"/>
      <c r="B332" s="7"/>
      <c r="C332" s="7"/>
      <c r="D332" s="7"/>
      <c r="E332" s="7"/>
      <c r="F332" s="7"/>
      <c r="G332" s="7"/>
    </row>
    <row r="333" ht="15.75" customHeight="1">
      <c r="A333" s="7"/>
      <c r="B333" s="7"/>
      <c r="C333" s="7"/>
      <c r="D333" s="7"/>
      <c r="E333" s="7"/>
      <c r="F333" s="7"/>
      <c r="G333" s="7"/>
    </row>
    <row r="334" ht="15.75" customHeight="1">
      <c r="A334" s="7"/>
      <c r="B334" s="7"/>
      <c r="C334" s="7"/>
      <c r="D334" s="7"/>
      <c r="E334" s="7"/>
      <c r="F334" s="7"/>
      <c r="G334" s="7"/>
    </row>
    <row r="335" ht="15.75" customHeight="1">
      <c r="A335" s="7"/>
      <c r="B335" s="7"/>
      <c r="C335" s="7"/>
      <c r="D335" s="7"/>
      <c r="E335" s="7"/>
      <c r="F335" s="7"/>
      <c r="G335" s="7"/>
    </row>
    <row r="336" ht="15.75" customHeight="1">
      <c r="A336" s="7"/>
      <c r="B336" s="7"/>
      <c r="C336" s="7"/>
      <c r="D336" s="7"/>
      <c r="E336" s="7"/>
      <c r="F336" s="7"/>
      <c r="G336" s="7"/>
    </row>
    <row r="337" ht="15.75" customHeight="1">
      <c r="A337" s="7"/>
      <c r="B337" s="7"/>
      <c r="C337" s="7"/>
      <c r="D337" s="7"/>
      <c r="E337" s="7"/>
      <c r="F337" s="7"/>
      <c r="G337" s="7"/>
    </row>
    <row r="338" ht="15.75" customHeight="1">
      <c r="A338" s="7"/>
      <c r="B338" s="7"/>
      <c r="C338" s="7"/>
      <c r="D338" s="7"/>
      <c r="E338" s="7"/>
      <c r="F338" s="7"/>
      <c r="G338" s="7"/>
    </row>
    <row r="339" ht="15.75" customHeight="1">
      <c r="A339" s="7"/>
      <c r="B339" s="7"/>
      <c r="C339" s="7"/>
      <c r="D339" s="7"/>
      <c r="E339" s="7"/>
      <c r="F339" s="7"/>
      <c r="G339" s="7"/>
    </row>
    <row r="340" ht="15.75" customHeight="1">
      <c r="A340" s="7"/>
      <c r="B340" s="7"/>
      <c r="C340" s="7"/>
      <c r="D340" s="7"/>
      <c r="E340" s="7"/>
      <c r="F340" s="7"/>
      <c r="G340" s="7"/>
    </row>
    <row r="341" ht="15.75" customHeight="1">
      <c r="A341" s="7"/>
      <c r="B341" s="7"/>
      <c r="C341" s="7"/>
      <c r="D341" s="7"/>
      <c r="E341" s="7"/>
      <c r="F341" s="7"/>
      <c r="G341" s="7"/>
    </row>
    <row r="342" ht="15.75" customHeight="1">
      <c r="A342" s="7"/>
      <c r="B342" s="7"/>
      <c r="C342" s="7"/>
      <c r="D342" s="7"/>
      <c r="E342" s="7"/>
      <c r="F342" s="7"/>
      <c r="G342" s="7"/>
    </row>
    <row r="343" ht="15.75" customHeight="1">
      <c r="A343" s="7"/>
      <c r="B343" s="7"/>
      <c r="C343" s="7"/>
      <c r="D343" s="7"/>
      <c r="E343" s="7"/>
      <c r="F343" s="7"/>
      <c r="G343" s="7"/>
    </row>
    <row r="344" ht="15.75" customHeight="1">
      <c r="A344" s="7"/>
      <c r="B344" s="7"/>
      <c r="C344" s="7"/>
      <c r="D344" s="7"/>
      <c r="E344" s="7"/>
      <c r="F344" s="7"/>
      <c r="G344" s="7"/>
    </row>
    <row r="345" ht="15.75" customHeight="1">
      <c r="A345" s="7"/>
      <c r="B345" s="7"/>
      <c r="C345" s="7"/>
      <c r="D345" s="7"/>
      <c r="E345" s="7"/>
      <c r="F345" s="7"/>
      <c r="G345" s="7"/>
    </row>
    <row r="346" ht="15.75" customHeight="1">
      <c r="A346" s="7"/>
      <c r="B346" s="7"/>
      <c r="C346" s="7"/>
      <c r="D346" s="7"/>
      <c r="E346" s="7"/>
      <c r="F346" s="7"/>
      <c r="G346" s="7"/>
    </row>
    <row r="347" ht="15.75" customHeight="1">
      <c r="A347" s="7"/>
      <c r="B347" s="7"/>
      <c r="C347" s="7"/>
      <c r="D347" s="7"/>
      <c r="E347" s="7"/>
      <c r="F347" s="7"/>
      <c r="G347" s="7"/>
    </row>
    <row r="348" ht="15.75" customHeight="1">
      <c r="A348" s="7"/>
      <c r="B348" s="7"/>
      <c r="C348" s="7"/>
      <c r="D348" s="7"/>
      <c r="E348" s="7"/>
      <c r="F348" s="7"/>
      <c r="G348" s="7"/>
    </row>
    <row r="349" ht="15.75" customHeight="1">
      <c r="A349" s="7"/>
      <c r="B349" s="7"/>
      <c r="C349" s="7"/>
      <c r="D349" s="7"/>
      <c r="E349" s="7"/>
      <c r="F349" s="7"/>
      <c r="G349" s="7"/>
    </row>
    <row r="350" ht="15.75" customHeight="1">
      <c r="A350" s="7"/>
      <c r="B350" s="7"/>
      <c r="C350" s="7"/>
      <c r="D350" s="7"/>
      <c r="E350" s="7"/>
      <c r="F350" s="7"/>
      <c r="G350" s="7"/>
    </row>
    <row r="351" ht="15.75" customHeight="1">
      <c r="A351" s="7"/>
      <c r="B351" s="7"/>
      <c r="C351" s="7"/>
      <c r="D351" s="7"/>
      <c r="E351" s="7"/>
      <c r="F351" s="7"/>
      <c r="G351" s="7"/>
    </row>
    <row r="352" ht="15.75" customHeight="1">
      <c r="A352" s="7"/>
      <c r="B352" s="7"/>
      <c r="C352" s="7"/>
      <c r="D352" s="7"/>
      <c r="E352" s="7"/>
      <c r="F352" s="7"/>
      <c r="G352" s="7"/>
    </row>
    <row r="353" ht="15.75" customHeight="1">
      <c r="A353" s="7"/>
      <c r="B353" s="7"/>
      <c r="C353" s="7"/>
      <c r="D353" s="7"/>
      <c r="E353" s="7"/>
      <c r="F353" s="7"/>
      <c r="G353" s="7"/>
    </row>
    <row r="354" ht="15.75" customHeight="1">
      <c r="A354" s="7"/>
      <c r="B354" s="7"/>
      <c r="C354" s="7"/>
      <c r="D354" s="7"/>
      <c r="E354" s="7"/>
      <c r="F354" s="7"/>
      <c r="G354" s="7"/>
    </row>
    <row r="355" ht="15.75" customHeight="1">
      <c r="A355" s="7"/>
      <c r="B355" s="7"/>
      <c r="C355" s="7"/>
      <c r="D355" s="7"/>
      <c r="E355" s="7"/>
      <c r="F355" s="7"/>
      <c r="G355" s="7"/>
    </row>
    <row r="356" ht="15.75" customHeight="1">
      <c r="A356" s="7"/>
      <c r="B356" s="7"/>
      <c r="C356" s="7"/>
      <c r="D356" s="7"/>
      <c r="E356" s="7"/>
      <c r="F356" s="7"/>
      <c r="G356" s="7"/>
    </row>
    <row r="357" ht="15.75" customHeight="1">
      <c r="A357" s="7"/>
      <c r="B357" s="7"/>
      <c r="C357" s="7"/>
      <c r="D357" s="7"/>
      <c r="E357" s="7"/>
      <c r="F357" s="7"/>
      <c r="G357" s="7"/>
    </row>
    <row r="358" ht="15.75" customHeight="1">
      <c r="A358" s="7"/>
      <c r="B358" s="7"/>
      <c r="C358" s="7"/>
      <c r="D358" s="7"/>
      <c r="E358" s="7"/>
      <c r="F358" s="7"/>
      <c r="G358" s="7"/>
    </row>
    <row r="359" ht="15.75" customHeight="1">
      <c r="A359" s="7"/>
      <c r="B359" s="7"/>
      <c r="C359" s="7"/>
      <c r="D359" s="7"/>
      <c r="E359" s="7"/>
      <c r="F359" s="7"/>
      <c r="G359" s="7"/>
    </row>
    <row r="360" ht="15.75" customHeight="1">
      <c r="A360" s="7"/>
      <c r="B360" s="7"/>
      <c r="C360" s="7"/>
      <c r="D360" s="7"/>
      <c r="E360" s="7"/>
      <c r="F360" s="7"/>
      <c r="G360" s="7"/>
    </row>
    <row r="361" ht="15.75" customHeight="1">
      <c r="A361" s="7"/>
      <c r="B361" s="7"/>
      <c r="C361" s="7"/>
      <c r="D361" s="7"/>
      <c r="E361" s="7"/>
      <c r="F361" s="7"/>
      <c r="G361" s="7"/>
    </row>
    <row r="362" ht="15.75" customHeight="1">
      <c r="A362" s="7"/>
      <c r="B362" s="7"/>
      <c r="C362" s="7"/>
      <c r="D362" s="7"/>
      <c r="E362" s="7"/>
      <c r="F362" s="7"/>
      <c r="G362" s="7"/>
    </row>
    <row r="363" ht="15.75" customHeight="1">
      <c r="A363" s="7"/>
      <c r="B363" s="7"/>
      <c r="C363" s="7"/>
      <c r="D363" s="7"/>
      <c r="E363" s="7"/>
      <c r="F363" s="7"/>
      <c r="G363" s="7"/>
    </row>
    <row r="364" ht="15.75" customHeight="1">
      <c r="A364" s="7"/>
      <c r="B364" s="7"/>
      <c r="C364" s="7"/>
      <c r="D364" s="7"/>
      <c r="E364" s="7"/>
      <c r="F364" s="7"/>
      <c r="G364" s="7"/>
    </row>
    <row r="365" ht="15.75" customHeight="1">
      <c r="A365" s="7"/>
      <c r="B365" s="7"/>
      <c r="C365" s="7"/>
      <c r="D365" s="7"/>
      <c r="E365" s="7"/>
      <c r="F365" s="7"/>
      <c r="G365" s="7"/>
    </row>
    <row r="366" ht="15.75" customHeight="1">
      <c r="A366" s="7"/>
      <c r="B366" s="7"/>
      <c r="C366" s="7"/>
      <c r="D366" s="7"/>
      <c r="E366" s="7"/>
      <c r="F366" s="7"/>
      <c r="G366" s="7"/>
    </row>
    <row r="367" ht="15.75" customHeight="1">
      <c r="A367" s="7"/>
      <c r="B367" s="7"/>
      <c r="C367" s="7"/>
      <c r="D367" s="7"/>
      <c r="E367" s="7"/>
      <c r="F367" s="7"/>
      <c r="G367" s="7"/>
    </row>
    <row r="368" ht="15.75" customHeight="1">
      <c r="A368" s="7"/>
      <c r="B368" s="7"/>
      <c r="C368" s="7"/>
      <c r="D368" s="7"/>
      <c r="E368" s="7"/>
      <c r="F368" s="7"/>
      <c r="G368" s="7"/>
    </row>
    <row r="369" ht="15.75" customHeight="1">
      <c r="A369" s="7"/>
      <c r="B369" s="7"/>
      <c r="C369" s="7"/>
      <c r="D369" s="7"/>
      <c r="E369" s="7"/>
      <c r="F369" s="7"/>
      <c r="G369" s="7"/>
    </row>
    <row r="370" ht="15.75" customHeight="1">
      <c r="A370" s="7"/>
      <c r="B370" s="7"/>
      <c r="C370" s="7"/>
      <c r="D370" s="7"/>
      <c r="E370" s="7"/>
      <c r="F370" s="7"/>
      <c r="G370" s="7"/>
    </row>
    <row r="371" ht="15.75" customHeight="1">
      <c r="A371" s="7"/>
      <c r="B371" s="7"/>
      <c r="C371" s="7"/>
      <c r="D371" s="7"/>
      <c r="E371" s="7"/>
      <c r="F371" s="7"/>
      <c r="G371" s="7"/>
    </row>
    <row r="372" ht="15.75" customHeight="1">
      <c r="A372" s="7"/>
      <c r="B372" s="7"/>
      <c r="C372" s="7"/>
      <c r="D372" s="7"/>
      <c r="E372" s="7"/>
      <c r="F372" s="7"/>
      <c r="G372" s="7"/>
    </row>
    <row r="373" ht="15.75" customHeight="1">
      <c r="A373" s="7"/>
      <c r="B373" s="7"/>
      <c r="C373" s="7"/>
      <c r="D373" s="7"/>
      <c r="E373" s="7"/>
      <c r="F373" s="7"/>
      <c r="G373" s="7"/>
    </row>
    <row r="374" ht="15.75" customHeight="1">
      <c r="A374" s="7"/>
      <c r="B374" s="7"/>
      <c r="C374" s="7"/>
      <c r="D374" s="7"/>
      <c r="E374" s="7"/>
      <c r="F374" s="7"/>
      <c r="G374" s="7"/>
    </row>
    <row r="375" ht="15.75" customHeight="1">
      <c r="A375" s="7"/>
      <c r="B375" s="7"/>
      <c r="C375" s="7"/>
      <c r="D375" s="7"/>
      <c r="E375" s="7"/>
      <c r="F375" s="7"/>
      <c r="G375" s="7"/>
    </row>
    <row r="376" ht="15.75" customHeight="1">
      <c r="A376" s="7"/>
      <c r="B376" s="7"/>
      <c r="C376" s="7"/>
      <c r="D376" s="7"/>
      <c r="E376" s="7"/>
      <c r="F376" s="7"/>
      <c r="G376" s="7"/>
    </row>
    <row r="377" ht="15.75" customHeight="1">
      <c r="A377" s="7"/>
      <c r="B377" s="7"/>
      <c r="C377" s="7"/>
      <c r="D377" s="7"/>
      <c r="E377" s="7"/>
      <c r="F377" s="7"/>
      <c r="G377" s="7"/>
    </row>
    <row r="378" ht="15.75" customHeight="1">
      <c r="A378" s="7"/>
      <c r="B378" s="7"/>
      <c r="C378" s="7"/>
      <c r="D378" s="7"/>
      <c r="E378" s="7"/>
      <c r="F378" s="7"/>
      <c r="G378" s="7"/>
    </row>
    <row r="379" ht="15.75" customHeight="1">
      <c r="A379" s="7"/>
      <c r="B379" s="7"/>
      <c r="C379" s="7"/>
      <c r="D379" s="7"/>
      <c r="E379" s="7"/>
      <c r="F379" s="7"/>
      <c r="G379" s="7"/>
    </row>
    <row r="380" ht="15.75" customHeight="1">
      <c r="A380" s="7"/>
      <c r="B380" s="7"/>
      <c r="C380" s="7"/>
      <c r="D380" s="7"/>
      <c r="E380" s="7"/>
      <c r="F380" s="7"/>
      <c r="G380" s="7"/>
    </row>
    <row r="381" ht="15.75" customHeight="1">
      <c r="A381" s="7"/>
      <c r="B381" s="7"/>
      <c r="C381" s="7"/>
      <c r="D381" s="7"/>
      <c r="E381" s="7"/>
      <c r="F381" s="7"/>
      <c r="G381" s="7"/>
    </row>
    <row r="382" ht="15.75" customHeight="1">
      <c r="A382" s="7"/>
      <c r="B382" s="7"/>
      <c r="C382" s="7"/>
      <c r="D382" s="7"/>
      <c r="E382" s="7"/>
      <c r="F382" s="7"/>
      <c r="G382" s="7"/>
    </row>
    <row r="383" ht="15.75" customHeight="1">
      <c r="A383" s="7"/>
      <c r="B383" s="7"/>
      <c r="C383" s="7"/>
      <c r="D383" s="7"/>
      <c r="E383" s="7"/>
      <c r="F383" s="7"/>
      <c r="G383" s="7"/>
    </row>
    <row r="384" ht="15.75" customHeight="1">
      <c r="A384" s="7"/>
      <c r="B384" s="7"/>
      <c r="C384" s="7"/>
      <c r="D384" s="7"/>
      <c r="E384" s="7"/>
      <c r="F384" s="7"/>
      <c r="G384" s="7"/>
    </row>
    <row r="385" ht="15.75" customHeight="1">
      <c r="A385" s="7"/>
      <c r="B385" s="7"/>
      <c r="C385" s="7"/>
      <c r="D385" s="7"/>
      <c r="E385" s="7"/>
      <c r="F385" s="7"/>
      <c r="G385" s="7"/>
    </row>
    <row r="386" ht="15.75" customHeight="1">
      <c r="A386" s="7"/>
      <c r="B386" s="7"/>
      <c r="C386" s="7"/>
      <c r="D386" s="7"/>
      <c r="E386" s="7"/>
      <c r="F386" s="7"/>
      <c r="G386" s="7"/>
    </row>
    <row r="387" ht="15.75" customHeight="1">
      <c r="A387" s="7"/>
      <c r="B387" s="7"/>
      <c r="C387" s="7"/>
      <c r="D387" s="7"/>
      <c r="E387" s="7"/>
      <c r="F387" s="7"/>
      <c r="G387" s="7"/>
    </row>
    <row r="388" ht="15.75" customHeight="1">
      <c r="A388" s="7"/>
      <c r="B388" s="7"/>
      <c r="C388" s="7"/>
      <c r="D388" s="7"/>
      <c r="E388" s="7"/>
      <c r="F388" s="7"/>
      <c r="G388" s="7"/>
    </row>
    <row r="389" ht="15.75" customHeight="1">
      <c r="A389" s="7"/>
      <c r="B389" s="7"/>
      <c r="C389" s="7"/>
      <c r="D389" s="7"/>
      <c r="E389" s="7"/>
      <c r="F389" s="7"/>
      <c r="G389" s="7"/>
    </row>
    <row r="390" ht="15.75" customHeight="1">
      <c r="A390" s="7"/>
      <c r="B390" s="7"/>
      <c r="C390" s="7"/>
      <c r="D390" s="7"/>
      <c r="E390" s="7"/>
      <c r="F390" s="7"/>
      <c r="G390" s="7"/>
    </row>
    <row r="391" ht="15.75" customHeight="1">
      <c r="A391" s="7"/>
      <c r="B391" s="7"/>
      <c r="C391" s="7"/>
      <c r="D391" s="7"/>
      <c r="E391" s="7"/>
      <c r="F391" s="7"/>
      <c r="G391" s="7"/>
    </row>
    <row r="392" ht="15.75" customHeight="1">
      <c r="A392" s="7"/>
      <c r="B392" s="7"/>
      <c r="C392" s="7"/>
      <c r="D392" s="7"/>
      <c r="E392" s="7"/>
      <c r="F392" s="7"/>
      <c r="G392" s="7"/>
    </row>
    <row r="393" ht="15.75" customHeight="1">
      <c r="A393" s="7"/>
      <c r="B393" s="7"/>
      <c r="C393" s="7"/>
      <c r="D393" s="7"/>
      <c r="E393" s="7"/>
      <c r="F393" s="7"/>
      <c r="G393" s="7"/>
    </row>
    <row r="394" ht="15.75" customHeight="1">
      <c r="A394" s="7"/>
      <c r="B394" s="7"/>
      <c r="C394" s="7"/>
      <c r="D394" s="7"/>
      <c r="E394" s="7"/>
      <c r="F394" s="7"/>
      <c r="G394" s="7"/>
    </row>
    <row r="395" ht="15.75" customHeight="1">
      <c r="A395" s="7"/>
      <c r="B395" s="7"/>
      <c r="C395" s="7"/>
      <c r="D395" s="7"/>
      <c r="E395" s="7"/>
      <c r="F395" s="7"/>
      <c r="G395" s="7"/>
    </row>
    <row r="396" ht="15.75" customHeight="1">
      <c r="A396" s="7"/>
      <c r="B396" s="7"/>
      <c r="C396" s="7"/>
      <c r="D396" s="7"/>
      <c r="E396" s="7"/>
      <c r="F396" s="7"/>
      <c r="G396" s="7"/>
    </row>
    <row r="397" ht="15.75" customHeight="1">
      <c r="A397" s="7"/>
      <c r="B397" s="7"/>
      <c r="C397" s="7"/>
      <c r="D397" s="7"/>
      <c r="E397" s="7"/>
      <c r="F397" s="7"/>
      <c r="G397" s="7"/>
    </row>
    <row r="398" ht="15.75" customHeight="1">
      <c r="A398" s="7"/>
      <c r="B398" s="7"/>
      <c r="C398" s="7"/>
      <c r="D398" s="7"/>
      <c r="E398" s="7"/>
      <c r="F398" s="7"/>
      <c r="G398" s="7"/>
    </row>
    <row r="399" ht="15.75" customHeight="1">
      <c r="A399" s="7"/>
      <c r="B399" s="7"/>
      <c r="C399" s="7"/>
      <c r="D399" s="7"/>
      <c r="E399" s="7"/>
      <c r="F399" s="7"/>
      <c r="G399" s="7"/>
    </row>
    <row r="400" ht="15.75" customHeight="1">
      <c r="A400" s="7"/>
      <c r="B400" s="7"/>
      <c r="C400" s="7"/>
      <c r="D400" s="7"/>
      <c r="E400" s="7"/>
      <c r="F400" s="7"/>
      <c r="G400" s="7"/>
    </row>
    <row r="401" ht="15.75" customHeight="1">
      <c r="A401" s="7"/>
      <c r="B401" s="7"/>
      <c r="C401" s="7"/>
      <c r="D401" s="7"/>
      <c r="E401" s="7"/>
      <c r="F401" s="7"/>
      <c r="G401" s="7"/>
    </row>
    <row r="402" ht="15.75" customHeight="1">
      <c r="A402" s="7"/>
      <c r="B402" s="7"/>
      <c r="C402" s="7"/>
      <c r="D402" s="7"/>
      <c r="E402" s="7"/>
      <c r="F402" s="7"/>
      <c r="G402" s="7"/>
    </row>
    <row r="403" ht="15.75" customHeight="1">
      <c r="A403" s="7"/>
      <c r="B403" s="7"/>
      <c r="C403" s="7"/>
      <c r="D403" s="7"/>
      <c r="E403" s="7"/>
      <c r="F403" s="7"/>
      <c r="G403" s="7"/>
    </row>
    <row r="404" ht="15.75" customHeight="1">
      <c r="A404" s="7"/>
      <c r="B404" s="7"/>
      <c r="C404" s="7"/>
      <c r="D404" s="7"/>
      <c r="E404" s="7"/>
      <c r="F404" s="7"/>
      <c r="G404" s="7"/>
    </row>
    <row r="405" ht="15.75" customHeight="1">
      <c r="A405" s="7"/>
      <c r="B405" s="7"/>
      <c r="C405" s="7"/>
      <c r="D405" s="7"/>
      <c r="E405" s="7"/>
      <c r="F405" s="7"/>
      <c r="G405" s="7"/>
    </row>
    <row r="406" ht="15.75" customHeight="1">
      <c r="A406" s="7"/>
      <c r="B406" s="7"/>
      <c r="C406" s="7"/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7"/>
      <c r="B408" s="7"/>
      <c r="C408" s="7"/>
      <c r="D408" s="7"/>
      <c r="E408" s="7"/>
      <c r="F408" s="7"/>
      <c r="G408" s="7"/>
    </row>
    <row r="409" ht="15.75" customHeight="1">
      <c r="A409" s="7"/>
      <c r="B409" s="7"/>
      <c r="C409" s="7"/>
      <c r="D409" s="7"/>
      <c r="E409" s="7"/>
      <c r="F409" s="7"/>
      <c r="G409" s="7"/>
    </row>
    <row r="410" ht="15.75" customHeight="1">
      <c r="A410" s="7"/>
      <c r="B410" s="7"/>
      <c r="C410" s="7"/>
      <c r="D410" s="7"/>
      <c r="E410" s="7"/>
      <c r="F410" s="7"/>
      <c r="G410" s="7"/>
    </row>
    <row r="411" ht="15.75" customHeight="1">
      <c r="A411" s="7"/>
      <c r="B411" s="7"/>
      <c r="C411" s="7"/>
      <c r="D411" s="7"/>
      <c r="E411" s="7"/>
      <c r="F411" s="7"/>
      <c r="G411" s="7"/>
    </row>
    <row r="412" ht="15.75" customHeight="1">
      <c r="A412" s="7"/>
      <c r="B412" s="7"/>
      <c r="C412" s="7"/>
      <c r="D412" s="7"/>
      <c r="E412" s="7"/>
      <c r="F412" s="7"/>
      <c r="G412" s="7"/>
    </row>
    <row r="413" ht="15.75" customHeight="1">
      <c r="A413" s="7"/>
      <c r="B413" s="7"/>
      <c r="C413" s="7"/>
      <c r="D413" s="7"/>
      <c r="E413" s="7"/>
      <c r="F413" s="7"/>
      <c r="G413" s="7"/>
    </row>
    <row r="414" ht="15.75" customHeight="1">
      <c r="A414" s="7"/>
      <c r="B414" s="7"/>
      <c r="C414" s="7"/>
      <c r="D414" s="7"/>
      <c r="E414" s="7"/>
      <c r="F414" s="7"/>
      <c r="G414" s="7"/>
    </row>
    <row r="415" ht="15.75" customHeight="1">
      <c r="A415" s="7"/>
      <c r="B415" s="7"/>
      <c r="C415" s="7"/>
      <c r="D415" s="7"/>
      <c r="E415" s="7"/>
      <c r="F415" s="7"/>
      <c r="G415" s="7"/>
    </row>
    <row r="416" ht="15.75" customHeight="1">
      <c r="A416" s="7"/>
      <c r="B416" s="7"/>
      <c r="C416" s="7"/>
      <c r="D416" s="7"/>
      <c r="E416" s="7"/>
      <c r="F416" s="7"/>
      <c r="G416" s="7"/>
    </row>
    <row r="417" ht="15.75" customHeight="1">
      <c r="A417" s="7"/>
      <c r="B417" s="7"/>
      <c r="C417" s="7"/>
      <c r="D417" s="7"/>
      <c r="E417" s="7"/>
      <c r="F417" s="7"/>
      <c r="G417" s="7"/>
    </row>
    <row r="418" ht="15.75" customHeight="1">
      <c r="A418" s="7"/>
      <c r="B418" s="7"/>
      <c r="C418" s="7"/>
      <c r="D418" s="7"/>
      <c r="E418" s="7"/>
      <c r="F418" s="7"/>
      <c r="G418" s="7"/>
    </row>
    <row r="419" ht="15.75" customHeight="1">
      <c r="A419" s="7"/>
      <c r="B419" s="7"/>
      <c r="C419" s="7"/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7"/>
      <c r="B421" s="7"/>
      <c r="C421" s="7"/>
      <c r="D421" s="7"/>
      <c r="E421" s="7"/>
      <c r="F421" s="7"/>
      <c r="G421" s="7"/>
    </row>
    <row r="422" ht="15.75" customHeight="1">
      <c r="A422" s="7"/>
      <c r="B422" s="7"/>
      <c r="C422" s="7"/>
      <c r="D422" s="7"/>
      <c r="E422" s="7"/>
      <c r="F422" s="7"/>
      <c r="G422" s="7"/>
    </row>
    <row r="423" ht="15.75" customHeight="1">
      <c r="A423" s="7"/>
      <c r="B423" s="7"/>
      <c r="C423" s="7"/>
      <c r="D423" s="7"/>
      <c r="E423" s="7"/>
      <c r="F423" s="7"/>
      <c r="G423" s="7"/>
    </row>
    <row r="424" ht="15.75" customHeight="1">
      <c r="A424" s="7"/>
      <c r="B424" s="7"/>
      <c r="C424" s="7"/>
      <c r="D424" s="7"/>
      <c r="E424" s="7"/>
      <c r="F424" s="7"/>
      <c r="G424" s="7"/>
    </row>
    <row r="425" ht="15.75" customHeight="1">
      <c r="A425" s="7"/>
      <c r="B425" s="7"/>
      <c r="C425" s="7"/>
      <c r="D425" s="7"/>
      <c r="E425" s="7"/>
      <c r="F425" s="7"/>
      <c r="G425" s="7"/>
    </row>
    <row r="426" ht="15.75" customHeight="1">
      <c r="A426" s="7"/>
      <c r="B426" s="7"/>
      <c r="C426" s="7"/>
      <c r="D426" s="7"/>
      <c r="E426" s="7"/>
      <c r="F426" s="7"/>
      <c r="G426" s="7"/>
    </row>
    <row r="427" ht="15.75" customHeight="1">
      <c r="A427" s="7"/>
      <c r="B427" s="7"/>
      <c r="C427" s="7"/>
      <c r="D427" s="7"/>
      <c r="E427" s="7"/>
      <c r="F427" s="7"/>
      <c r="G427" s="7"/>
    </row>
    <row r="428" ht="15.75" customHeight="1">
      <c r="A428" s="7"/>
      <c r="B428" s="7"/>
      <c r="C428" s="7"/>
      <c r="D428" s="7"/>
      <c r="E428" s="7"/>
      <c r="F428" s="7"/>
      <c r="G428" s="7"/>
    </row>
    <row r="429" ht="15.75" customHeight="1">
      <c r="A429" s="7"/>
      <c r="B429" s="7"/>
      <c r="C429" s="7"/>
      <c r="D429" s="7"/>
      <c r="E429" s="7"/>
      <c r="F429" s="7"/>
      <c r="G429" s="7"/>
    </row>
    <row r="430" ht="15.75" customHeight="1">
      <c r="A430" s="7"/>
      <c r="B430" s="7"/>
      <c r="C430" s="7"/>
      <c r="D430" s="7"/>
      <c r="E430" s="7"/>
      <c r="F430" s="7"/>
      <c r="G430" s="7"/>
    </row>
    <row r="431" ht="15.75" customHeight="1">
      <c r="A431" s="7"/>
      <c r="B431" s="7"/>
      <c r="C431" s="7"/>
      <c r="D431" s="7"/>
      <c r="E431" s="7"/>
      <c r="F431" s="7"/>
      <c r="G431" s="7"/>
    </row>
    <row r="432" ht="15.75" customHeight="1">
      <c r="A432" s="7"/>
      <c r="B432" s="7"/>
      <c r="C432" s="7"/>
      <c r="D432" s="7"/>
      <c r="E432" s="7"/>
      <c r="F432" s="7"/>
      <c r="G432" s="7"/>
    </row>
    <row r="433" ht="15.75" customHeight="1">
      <c r="A433" s="7"/>
      <c r="B433" s="7"/>
      <c r="C433" s="7"/>
      <c r="D433" s="7"/>
      <c r="E433" s="7"/>
      <c r="F433" s="7"/>
      <c r="G433" s="7"/>
    </row>
    <row r="434" ht="15.75" customHeight="1">
      <c r="A434" s="7"/>
      <c r="B434" s="7"/>
      <c r="C434" s="7"/>
      <c r="D434" s="7"/>
      <c r="E434" s="7"/>
      <c r="F434" s="7"/>
      <c r="G434" s="7"/>
    </row>
    <row r="435" ht="15.75" customHeight="1">
      <c r="A435" s="7"/>
      <c r="B435" s="7"/>
      <c r="C435" s="7"/>
      <c r="D435" s="7"/>
      <c r="E435" s="7"/>
      <c r="F435" s="7"/>
      <c r="G435" s="7"/>
    </row>
    <row r="436" ht="15.75" customHeight="1">
      <c r="A436" s="7"/>
      <c r="B436" s="7"/>
      <c r="C436" s="7"/>
      <c r="D436" s="7"/>
      <c r="E436" s="7"/>
      <c r="F436" s="7"/>
      <c r="G436" s="7"/>
    </row>
    <row r="437" ht="15.75" customHeight="1">
      <c r="A437" s="7"/>
      <c r="B437" s="7"/>
      <c r="C437" s="7"/>
      <c r="D437" s="7"/>
      <c r="E437" s="7"/>
      <c r="F437" s="7"/>
      <c r="G437" s="7"/>
    </row>
    <row r="438" ht="15.75" customHeight="1">
      <c r="A438" s="7"/>
      <c r="B438" s="7"/>
      <c r="C438" s="7"/>
      <c r="D438" s="7"/>
      <c r="E438" s="7"/>
      <c r="F438" s="7"/>
      <c r="G438" s="7"/>
    </row>
    <row r="439" ht="15.75" customHeight="1">
      <c r="A439" s="7"/>
      <c r="B439" s="7"/>
      <c r="C439" s="7"/>
      <c r="D439" s="7"/>
      <c r="E439" s="7"/>
      <c r="F439" s="7"/>
      <c r="G439" s="7"/>
    </row>
    <row r="440" ht="15.75" customHeight="1">
      <c r="A440" s="7"/>
      <c r="B440" s="7"/>
      <c r="C440" s="7"/>
      <c r="D440" s="7"/>
      <c r="E440" s="7"/>
      <c r="F440" s="7"/>
      <c r="G440" s="7"/>
    </row>
    <row r="441" ht="15.75" customHeight="1">
      <c r="A441" s="7"/>
      <c r="B441" s="7"/>
      <c r="C441" s="7"/>
      <c r="D441" s="7"/>
      <c r="E441" s="7"/>
      <c r="F441" s="7"/>
      <c r="G441" s="7"/>
    </row>
    <row r="442" ht="15.75" customHeight="1">
      <c r="A442" s="7"/>
      <c r="B442" s="7"/>
      <c r="C442" s="7"/>
      <c r="D442" s="7"/>
      <c r="E442" s="7"/>
      <c r="F442" s="7"/>
      <c r="G442" s="7"/>
    </row>
    <row r="443" ht="15.75" customHeight="1">
      <c r="A443" s="7"/>
      <c r="B443" s="7"/>
      <c r="C443" s="7"/>
      <c r="D443" s="7"/>
      <c r="E443" s="7"/>
      <c r="F443" s="7"/>
      <c r="G443" s="7"/>
    </row>
    <row r="444" ht="15.75" customHeight="1">
      <c r="A444" s="7"/>
      <c r="B444" s="7"/>
      <c r="C444" s="7"/>
      <c r="D444" s="7"/>
      <c r="E444" s="7"/>
      <c r="F444" s="7"/>
      <c r="G444" s="7"/>
    </row>
    <row r="445" ht="15.75" customHeight="1">
      <c r="A445" s="7"/>
      <c r="B445" s="7"/>
      <c r="C445" s="7"/>
      <c r="D445" s="7"/>
      <c r="E445" s="7"/>
      <c r="F445" s="7"/>
      <c r="G445" s="7"/>
    </row>
    <row r="446" ht="15.75" customHeight="1">
      <c r="A446" s="7"/>
      <c r="B446" s="7"/>
      <c r="C446" s="7"/>
      <c r="D446" s="7"/>
      <c r="E446" s="7"/>
      <c r="F446" s="7"/>
      <c r="G446" s="7"/>
    </row>
    <row r="447" ht="15.75" customHeight="1">
      <c r="A447" s="7"/>
      <c r="B447" s="7"/>
      <c r="C447" s="7"/>
      <c r="D447" s="7"/>
      <c r="E447" s="7"/>
      <c r="F447" s="7"/>
      <c r="G447" s="7"/>
    </row>
    <row r="448" ht="15.75" customHeight="1">
      <c r="A448" s="7"/>
      <c r="B448" s="7"/>
      <c r="C448" s="7"/>
      <c r="D448" s="7"/>
      <c r="E448" s="7"/>
      <c r="F448" s="7"/>
      <c r="G448" s="7"/>
    </row>
    <row r="449" ht="15.75" customHeight="1">
      <c r="A449" s="7"/>
      <c r="B449" s="7"/>
      <c r="C449" s="7"/>
      <c r="D449" s="7"/>
      <c r="E449" s="7"/>
      <c r="F449" s="7"/>
      <c r="G449" s="7"/>
    </row>
    <row r="450" ht="15.75" customHeight="1">
      <c r="A450" s="7"/>
      <c r="B450" s="7"/>
      <c r="C450" s="7"/>
      <c r="D450" s="7"/>
      <c r="E450" s="7"/>
      <c r="F450" s="7"/>
      <c r="G450" s="7"/>
    </row>
    <row r="451" ht="15.75" customHeight="1">
      <c r="A451" s="7"/>
      <c r="B451" s="7"/>
      <c r="C451" s="7"/>
      <c r="D451" s="7"/>
      <c r="E451" s="7"/>
      <c r="F451" s="7"/>
      <c r="G451" s="7"/>
    </row>
    <row r="452" ht="15.75" customHeight="1">
      <c r="A452" s="7"/>
      <c r="B452" s="7"/>
      <c r="C452" s="7"/>
      <c r="D452" s="7"/>
      <c r="E452" s="7"/>
      <c r="F452" s="7"/>
      <c r="G452" s="7"/>
    </row>
    <row r="453" ht="15.75" customHeight="1">
      <c r="A453" s="7"/>
      <c r="B453" s="7"/>
      <c r="C453" s="7"/>
      <c r="D453" s="7"/>
      <c r="E453" s="7"/>
      <c r="F453" s="7"/>
      <c r="G453" s="7"/>
    </row>
    <row r="454" ht="15.75" customHeight="1">
      <c r="A454" s="7"/>
      <c r="B454" s="7"/>
      <c r="C454" s="7"/>
      <c r="D454" s="7"/>
      <c r="E454" s="7"/>
      <c r="F454" s="7"/>
      <c r="G454" s="7"/>
    </row>
    <row r="455" ht="15.75" customHeight="1">
      <c r="A455" s="7"/>
      <c r="B455" s="7"/>
      <c r="C455" s="7"/>
      <c r="D455" s="7"/>
      <c r="E455" s="7"/>
      <c r="F455" s="7"/>
      <c r="G455" s="7"/>
    </row>
    <row r="456" ht="15.75" customHeight="1">
      <c r="A456" s="7"/>
      <c r="B456" s="7"/>
      <c r="C456" s="7"/>
      <c r="D456" s="7"/>
      <c r="E456" s="7"/>
      <c r="F456" s="7"/>
      <c r="G456" s="7"/>
    </row>
    <row r="457" ht="15.75" customHeight="1">
      <c r="A457" s="7"/>
      <c r="B457" s="7"/>
      <c r="C457" s="7"/>
      <c r="D457" s="7"/>
      <c r="E457" s="7"/>
      <c r="F457" s="7"/>
      <c r="G457" s="7"/>
    </row>
    <row r="458" ht="15.75" customHeight="1">
      <c r="A458" s="7"/>
      <c r="B458" s="7"/>
      <c r="C458" s="7"/>
      <c r="D458" s="7"/>
      <c r="E458" s="7"/>
      <c r="F458" s="7"/>
      <c r="G458" s="7"/>
    </row>
    <row r="459" ht="15.75" customHeight="1">
      <c r="A459" s="7"/>
      <c r="B459" s="7"/>
      <c r="C459" s="7"/>
      <c r="D459" s="7"/>
      <c r="E459" s="7"/>
      <c r="F459" s="7"/>
      <c r="G459" s="7"/>
    </row>
    <row r="460" ht="15.75" customHeight="1">
      <c r="A460" s="7"/>
      <c r="B460" s="7"/>
      <c r="C460" s="7"/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7"/>
      <c r="B462" s="7"/>
      <c r="C462" s="7"/>
      <c r="D462" s="7"/>
      <c r="E462" s="7"/>
      <c r="F462" s="7"/>
      <c r="G462" s="7"/>
    </row>
    <row r="463" ht="15.75" customHeight="1">
      <c r="A463" s="7"/>
      <c r="B463" s="7"/>
      <c r="C463" s="7"/>
      <c r="D463" s="7"/>
      <c r="E463" s="7"/>
      <c r="F463" s="7"/>
      <c r="G463" s="7"/>
    </row>
    <row r="464" ht="15.75" customHeight="1">
      <c r="A464" s="7"/>
      <c r="B464" s="7"/>
      <c r="C464" s="7"/>
      <c r="D464" s="7"/>
      <c r="E464" s="7"/>
      <c r="F464" s="7"/>
      <c r="G464" s="7"/>
    </row>
    <row r="465" ht="15.75" customHeight="1">
      <c r="A465" s="7"/>
      <c r="B465" s="7"/>
      <c r="C465" s="7"/>
      <c r="D465" s="7"/>
      <c r="E465" s="7"/>
      <c r="F465" s="7"/>
      <c r="G465" s="7"/>
    </row>
    <row r="466" ht="15.75" customHeight="1">
      <c r="A466" s="7"/>
      <c r="B466" s="7"/>
      <c r="C466" s="7"/>
      <c r="D466" s="7"/>
      <c r="E466" s="7"/>
      <c r="F466" s="7"/>
      <c r="G466" s="7"/>
    </row>
    <row r="467" ht="15.75" customHeight="1">
      <c r="A467" s="7"/>
      <c r="B467" s="7"/>
      <c r="C467" s="7"/>
      <c r="D467" s="7"/>
      <c r="E467" s="7"/>
      <c r="F467" s="7"/>
      <c r="G467" s="7"/>
    </row>
    <row r="468" ht="15.75" customHeight="1">
      <c r="A468" s="7"/>
      <c r="B468" s="7"/>
      <c r="C468" s="7"/>
      <c r="D468" s="7"/>
      <c r="E468" s="7"/>
      <c r="F468" s="7"/>
      <c r="G468" s="7"/>
    </row>
    <row r="469" ht="15.75" customHeight="1">
      <c r="A469" s="7"/>
      <c r="B469" s="7"/>
      <c r="C469" s="7"/>
      <c r="D469" s="7"/>
      <c r="E469" s="7"/>
      <c r="F469" s="7"/>
      <c r="G469" s="7"/>
    </row>
    <row r="470" ht="15.75" customHeight="1">
      <c r="A470" s="7"/>
      <c r="B470" s="7"/>
      <c r="C470" s="7"/>
      <c r="D470" s="7"/>
      <c r="E470" s="7"/>
      <c r="F470" s="7"/>
      <c r="G470" s="7"/>
    </row>
    <row r="471" ht="15.75" customHeight="1">
      <c r="A471" s="7"/>
      <c r="B471" s="7"/>
      <c r="C471" s="7"/>
      <c r="D471" s="7"/>
      <c r="E471" s="7"/>
      <c r="F471" s="7"/>
      <c r="G471" s="7"/>
    </row>
    <row r="472" ht="15.75" customHeight="1">
      <c r="A472" s="7"/>
      <c r="B472" s="7"/>
      <c r="C472" s="7"/>
      <c r="D472" s="7"/>
      <c r="E472" s="7"/>
      <c r="F472" s="7"/>
      <c r="G472" s="7"/>
    </row>
    <row r="473" ht="15.75" customHeight="1">
      <c r="A473" s="7"/>
      <c r="B473" s="7"/>
      <c r="C473" s="7"/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7"/>
      <c r="B475" s="7"/>
      <c r="C475" s="7"/>
      <c r="D475" s="7"/>
      <c r="E475" s="7"/>
      <c r="F475" s="7"/>
      <c r="G475" s="7"/>
    </row>
    <row r="476" ht="15.75" customHeight="1">
      <c r="A476" s="7"/>
      <c r="B476" s="7"/>
      <c r="C476" s="7"/>
      <c r="D476" s="7"/>
      <c r="E476" s="7"/>
      <c r="F476" s="7"/>
      <c r="G476" s="7"/>
    </row>
    <row r="477" ht="15.75" customHeight="1">
      <c r="A477" s="7"/>
      <c r="B477" s="7"/>
      <c r="C477" s="7"/>
      <c r="D477" s="7"/>
      <c r="E477" s="7"/>
      <c r="F477" s="7"/>
      <c r="G477" s="7"/>
    </row>
    <row r="478" ht="15.75" customHeight="1">
      <c r="A478" s="7"/>
      <c r="B478" s="7"/>
      <c r="C478" s="7"/>
      <c r="D478" s="7"/>
      <c r="E478" s="7"/>
      <c r="F478" s="7"/>
      <c r="G478" s="7"/>
    </row>
    <row r="479" ht="15.75" customHeight="1">
      <c r="A479" s="7"/>
      <c r="B479" s="7"/>
      <c r="C479" s="7"/>
      <c r="D479" s="7"/>
      <c r="E479" s="7"/>
      <c r="F479" s="7"/>
      <c r="G479" s="7"/>
    </row>
    <row r="480" ht="15.75" customHeight="1">
      <c r="A480" s="7"/>
      <c r="B480" s="7"/>
      <c r="C480" s="7"/>
      <c r="D480" s="7"/>
      <c r="E480" s="7"/>
      <c r="F480" s="7"/>
      <c r="G480" s="7"/>
    </row>
    <row r="481" ht="15.75" customHeight="1">
      <c r="A481" s="7"/>
      <c r="B481" s="7"/>
      <c r="C481" s="7"/>
      <c r="D481" s="7"/>
      <c r="E481" s="7"/>
      <c r="F481" s="7"/>
      <c r="G481" s="7"/>
    </row>
    <row r="482" ht="15.75" customHeight="1">
      <c r="A482" s="7"/>
      <c r="B482" s="7"/>
      <c r="C482" s="7"/>
      <c r="D482" s="7"/>
      <c r="E482" s="7"/>
      <c r="F482" s="7"/>
      <c r="G482" s="7"/>
    </row>
    <row r="483" ht="15.75" customHeight="1">
      <c r="A483" s="7"/>
      <c r="B483" s="7"/>
      <c r="C483" s="7"/>
      <c r="D483" s="7"/>
      <c r="E483" s="7"/>
      <c r="F483" s="7"/>
      <c r="G483" s="7"/>
    </row>
    <row r="484" ht="15.75" customHeight="1">
      <c r="A484" s="7"/>
      <c r="B484" s="7"/>
      <c r="C484" s="7"/>
      <c r="D484" s="7"/>
      <c r="E484" s="7"/>
      <c r="F484" s="7"/>
      <c r="G484" s="7"/>
    </row>
    <row r="485" ht="15.75" customHeight="1">
      <c r="A485" s="7"/>
      <c r="B485" s="7"/>
      <c r="C485" s="7"/>
      <c r="D485" s="7"/>
      <c r="E485" s="7"/>
      <c r="F485" s="7"/>
      <c r="G485" s="7"/>
    </row>
    <row r="486" ht="15.75" customHeight="1">
      <c r="A486" s="7"/>
      <c r="B486" s="7"/>
      <c r="C486" s="7"/>
      <c r="D486" s="7"/>
      <c r="E486" s="7"/>
      <c r="F486" s="7"/>
      <c r="G486" s="7"/>
    </row>
    <row r="487" ht="15.75" customHeight="1">
      <c r="A487" s="7"/>
      <c r="B487" s="7"/>
      <c r="C487" s="7"/>
      <c r="D487" s="7"/>
      <c r="E487" s="7"/>
      <c r="F487" s="7"/>
      <c r="G487" s="7"/>
    </row>
    <row r="488" ht="15.75" customHeight="1">
      <c r="A488" s="7"/>
      <c r="B488" s="7"/>
      <c r="C488" s="7"/>
      <c r="D488" s="7"/>
      <c r="E488" s="7"/>
      <c r="F488" s="7"/>
      <c r="G488" s="7"/>
    </row>
    <row r="489" ht="15.75" customHeight="1">
      <c r="A489" s="7"/>
      <c r="B489" s="7"/>
      <c r="C489" s="7"/>
      <c r="D489" s="7"/>
      <c r="E489" s="7"/>
      <c r="F489" s="7"/>
      <c r="G489" s="7"/>
    </row>
    <row r="490" ht="15.75" customHeight="1">
      <c r="A490" s="7"/>
      <c r="B490" s="7"/>
      <c r="C490" s="7"/>
      <c r="D490" s="7"/>
      <c r="E490" s="7"/>
      <c r="F490" s="7"/>
      <c r="G490" s="7"/>
    </row>
    <row r="491" ht="15.75" customHeight="1">
      <c r="A491" s="7"/>
      <c r="B491" s="7"/>
      <c r="C491" s="7"/>
      <c r="D491" s="7"/>
      <c r="E491" s="7"/>
      <c r="F491" s="7"/>
      <c r="G491" s="7"/>
    </row>
    <row r="492" ht="15.75" customHeight="1">
      <c r="A492" s="7"/>
      <c r="B492" s="7"/>
      <c r="C492" s="7"/>
      <c r="D492" s="7"/>
      <c r="E492" s="7"/>
      <c r="F492" s="7"/>
      <c r="G492" s="7"/>
    </row>
    <row r="493" ht="15.75" customHeight="1">
      <c r="A493" s="7"/>
      <c r="B493" s="7"/>
      <c r="C493" s="7"/>
      <c r="D493" s="7"/>
      <c r="E493" s="7"/>
      <c r="F493" s="7"/>
      <c r="G493" s="7"/>
    </row>
    <row r="494" ht="15.75" customHeight="1">
      <c r="A494" s="7"/>
      <c r="B494" s="7"/>
      <c r="C494" s="7"/>
      <c r="D494" s="7"/>
      <c r="E494" s="7"/>
      <c r="F494" s="7"/>
      <c r="G494" s="7"/>
    </row>
    <row r="495" ht="15.75" customHeight="1">
      <c r="A495" s="7"/>
      <c r="B495" s="7"/>
      <c r="C495" s="7"/>
      <c r="D495" s="7"/>
      <c r="E495" s="7"/>
      <c r="F495" s="7"/>
      <c r="G495" s="7"/>
    </row>
    <row r="496" ht="15.75" customHeight="1">
      <c r="A496" s="7"/>
      <c r="B496" s="7"/>
      <c r="C496" s="7"/>
      <c r="D496" s="7"/>
      <c r="E496" s="7"/>
      <c r="F496" s="7"/>
      <c r="G496" s="7"/>
    </row>
    <row r="497" ht="15.75" customHeight="1">
      <c r="A497" s="7"/>
      <c r="B497" s="7"/>
      <c r="C497" s="7"/>
      <c r="D497" s="7"/>
      <c r="E497" s="7"/>
      <c r="F497" s="7"/>
      <c r="G497" s="7"/>
    </row>
    <row r="498" ht="15.75" customHeight="1">
      <c r="A498" s="7"/>
      <c r="B498" s="7"/>
      <c r="C498" s="7"/>
      <c r="D498" s="7"/>
      <c r="E498" s="7"/>
      <c r="F498" s="7"/>
      <c r="G498" s="7"/>
    </row>
    <row r="499" ht="15.75" customHeight="1">
      <c r="A499" s="7"/>
      <c r="B499" s="7"/>
      <c r="C499" s="7"/>
      <c r="D499" s="7"/>
      <c r="E499" s="7"/>
      <c r="F499" s="7"/>
      <c r="G499" s="7"/>
    </row>
    <row r="500" ht="15.75" customHeight="1">
      <c r="A500" s="7"/>
      <c r="B500" s="7"/>
      <c r="C500" s="7"/>
      <c r="D500" s="7"/>
      <c r="E500" s="7"/>
      <c r="F500" s="7"/>
      <c r="G500" s="7"/>
    </row>
    <row r="501" ht="15.75" customHeight="1">
      <c r="A501" s="7"/>
      <c r="B501" s="7"/>
      <c r="C501" s="7"/>
      <c r="D501" s="7"/>
      <c r="E501" s="7"/>
      <c r="F501" s="7"/>
      <c r="G501" s="7"/>
    </row>
    <row r="502" ht="15.75" customHeight="1">
      <c r="A502" s="7"/>
      <c r="B502" s="7"/>
      <c r="C502" s="7"/>
      <c r="D502" s="7"/>
      <c r="E502" s="7"/>
      <c r="F502" s="7"/>
      <c r="G502" s="7"/>
    </row>
    <row r="503" ht="15.75" customHeight="1">
      <c r="A503" s="7"/>
      <c r="B503" s="7"/>
      <c r="C503" s="7"/>
      <c r="D503" s="7"/>
      <c r="E503" s="7"/>
      <c r="F503" s="7"/>
      <c r="G503" s="7"/>
    </row>
    <row r="504" ht="15.75" customHeight="1">
      <c r="A504" s="7"/>
      <c r="B504" s="7"/>
      <c r="C504" s="7"/>
      <c r="D504" s="7"/>
      <c r="E504" s="7"/>
      <c r="F504" s="7"/>
      <c r="G504" s="7"/>
    </row>
    <row r="505" ht="15.75" customHeight="1">
      <c r="A505" s="7"/>
      <c r="B505" s="7"/>
      <c r="C505" s="7"/>
      <c r="D505" s="7"/>
      <c r="E505" s="7"/>
      <c r="F505" s="7"/>
      <c r="G505" s="7"/>
    </row>
    <row r="506" ht="15.75" customHeight="1">
      <c r="A506" s="7"/>
      <c r="B506" s="7"/>
      <c r="C506" s="7"/>
      <c r="D506" s="7"/>
      <c r="E506" s="7"/>
      <c r="F506" s="7"/>
      <c r="G506" s="7"/>
    </row>
    <row r="507" ht="15.75" customHeight="1">
      <c r="A507" s="7"/>
      <c r="B507" s="7"/>
      <c r="C507" s="7"/>
      <c r="D507" s="7"/>
      <c r="E507" s="7"/>
      <c r="F507" s="7"/>
      <c r="G507" s="7"/>
    </row>
    <row r="508" ht="15.75" customHeight="1">
      <c r="A508" s="7"/>
      <c r="B508" s="7"/>
      <c r="C508" s="7"/>
      <c r="D508" s="7"/>
      <c r="E508" s="7"/>
      <c r="F508" s="7"/>
      <c r="G508" s="7"/>
    </row>
    <row r="509" ht="15.75" customHeight="1">
      <c r="A509" s="7"/>
      <c r="B509" s="7"/>
      <c r="C509" s="7"/>
      <c r="D509" s="7"/>
      <c r="E509" s="7"/>
      <c r="F509" s="7"/>
      <c r="G509" s="7"/>
    </row>
    <row r="510" ht="15.75" customHeight="1">
      <c r="A510" s="7"/>
      <c r="B510" s="7"/>
      <c r="C510" s="7"/>
      <c r="D510" s="7"/>
      <c r="E510" s="7"/>
      <c r="F510" s="7"/>
      <c r="G510" s="7"/>
    </row>
    <row r="511" ht="15.75" customHeight="1">
      <c r="A511" s="7"/>
      <c r="B511" s="7"/>
      <c r="C511" s="7"/>
      <c r="D511" s="7"/>
      <c r="E511" s="7"/>
      <c r="F511" s="7"/>
      <c r="G511" s="7"/>
    </row>
    <row r="512" ht="15.75" customHeight="1">
      <c r="A512" s="7"/>
      <c r="B512" s="7"/>
      <c r="C512" s="7"/>
      <c r="D512" s="7"/>
      <c r="E512" s="7"/>
      <c r="F512" s="7"/>
      <c r="G512" s="7"/>
    </row>
    <row r="513" ht="15.75" customHeight="1">
      <c r="A513" s="7"/>
      <c r="B513" s="7"/>
      <c r="C513" s="7"/>
      <c r="D513" s="7"/>
      <c r="E513" s="7"/>
      <c r="F513" s="7"/>
      <c r="G513" s="7"/>
    </row>
    <row r="514" ht="15.75" customHeight="1">
      <c r="A514" s="7"/>
      <c r="B514" s="7"/>
      <c r="C514" s="7"/>
      <c r="D514" s="7"/>
      <c r="E514" s="7"/>
      <c r="F514" s="7"/>
      <c r="G514" s="7"/>
    </row>
    <row r="515" ht="15.75" customHeight="1">
      <c r="A515" s="7"/>
      <c r="B515" s="7"/>
      <c r="C515" s="7"/>
      <c r="D515" s="7"/>
      <c r="E515" s="7"/>
      <c r="F515" s="7"/>
      <c r="G515" s="7"/>
    </row>
    <row r="516" ht="15.75" customHeight="1">
      <c r="A516" s="7"/>
      <c r="B516" s="7"/>
      <c r="C516" s="7"/>
      <c r="D516" s="7"/>
      <c r="E516" s="7"/>
      <c r="F516" s="7"/>
      <c r="G516" s="7"/>
    </row>
    <row r="517" ht="15.75" customHeight="1">
      <c r="A517" s="7"/>
      <c r="B517" s="7"/>
      <c r="C517" s="7"/>
      <c r="D517" s="7"/>
      <c r="E517" s="7"/>
      <c r="F517" s="7"/>
      <c r="G517" s="7"/>
    </row>
    <row r="518" ht="15.75" customHeight="1">
      <c r="A518" s="7"/>
      <c r="B518" s="7"/>
      <c r="C518" s="7"/>
      <c r="D518" s="7"/>
      <c r="E518" s="7"/>
      <c r="F518" s="7"/>
      <c r="G518" s="7"/>
    </row>
    <row r="519" ht="15.75" customHeight="1">
      <c r="A519" s="7"/>
      <c r="B519" s="7"/>
      <c r="C519" s="7"/>
      <c r="D519" s="7"/>
      <c r="E519" s="7"/>
      <c r="F519" s="7"/>
      <c r="G519" s="7"/>
    </row>
    <row r="520" ht="15.75" customHeight="1">
      <c r="A520" s="7"/>
      <c r="B520" s="7"/>
      <c r="C520" s="7"/>
      <c r="D520" s="7"/>
      <c r="E520" s="7"/>
      <c r="F520" s="7"/>
      <c r="G520" s="7"/>
    </row>
    <row r="521" ht="15.75" customHeight="1">
      <c r="A521" s="7"/>
      <c r="B521" s="7"/>
      <c r="C521" s="7"/>
      <c r="D521" s="7"/>
      <c r="E521" s="7"/>
      <c r="F521" s="7"/>
      <c r="G521" s="7"/>
    </row>
    <row r="522" ht="15.75" customHeight="1">
      <c r="A522" s="7"/>
      <c r="B522" s="7"/>
      <c r="C522" s="7"/>
      <c r="D522" s="7"/>
      <c r="E522" s="7"/>
      <c r="F522" s="7"/>
      <c r="G522" s="7"/>
    </row>
    <row r="523" ht="15.75" customHeight="1">
      <c r="A523" s="7"/>
      <c r="B523" s="7"/>
      <c r="C523" s="7"/>
      <c r="D523" s="7"/>
      <c r="E523" s="7"/>
      <c r="F523" s="7"/>
      <c r="G523" s="7"/>
    </row>
    <row r="524" ht="15.75" customHeight="1">
      <c r="A524" s="7"/>
      <c r="B524" s="7"/>
      <c r="C524" s="7"/>
      <c r="D524" s="7"/>
      <c r="E524" s="7"/>
      <c r="F524" s="7"/>
      <c r="G524" s="7"/>
    </row>
    <row r="525" ht="15.75" customHeight="1">
      <c r="A525" s="7"/>
      <c r="B525" s="7"/>
      <c r="C525" s="7"/>
      <c r="D525" s="7"/>
      <c r="E525" s="7"/>
      <c r="F525" s="7"/>
      <c r="G525" s="7"/>
    </row>
    <row r="526" ht="15.75" customHeight="1">
      <c r="A526" s="7"/>
      <c r="B526" s="7"/>
      <c r="C526" s="7"/>
      <c r="D526" s="7"/>
      <c r="E526" s="7"/>
      <c r="F526" s="7"/>
      <c r="G526" s="7"/>
    </row>
    <row r="527" ht="15.75" customHeight="1">
      <c r="A527" s="7"/>
      <c r="B527" s="7"/>
      <c r="C527" s="7"/>
      <c r="D527" s="7"/>
      <c r="E527" s="7"/>
      <c r="F527" s="7"/>
      <c r="G527" s="7"/>
    </row>
    <row r="528" ht="15.75" customHeight="1">
      <c r="A528" s="7"/>
      <c r="B528" s="7"/>
      <c r="C528" s="7"/>
      <c r="D528" s="7"/>
      <c r="E528" s="7"/>
      <c r="F528" s="7"/>
      <c r="G528" s="7"/>
    </row>
    <row r="529" ht="15.75" customHeight="1">
      <c r="A529" s="7"/>
      <c r="B529" s="7"/>
      <c r="C529" s="7"/>
      <c r="D529" s="7"/>
      <c r="E529" s="7"/>
      <c r="F529" s="7"/>
      <c r="G529" s="7"/>
    </row>
    <row r="530" ht="15.75" customHeight="1">
      <c r="A530" s="7"/>
      <c r="B530" s="7"/>
      <c r="C530" s="7"/>
      <c r="D530" s="7"/>
      <c r="E530" s="7"/>
      <c r="F530" s="7"/>
      <c r="G530" s="7"/>
    </row>
    <row r="531" ht="15.75" customHeight="1">
      <c r="A531" s="7"/>
      <c r="B531" s="7"/>
      <c r="C531" s="7"/>
      <c r="D531" s="7"/>
      <c r="E531" s="7"/>
      <c r="F531" s="7"/>
      <c r="G531" s="7"/>
    </row>
    <row r="532" ht="15.75" customHeight="1">
      <c r="A532" s="7"/>
      <c r="B532" s="7"/>
      <c r="C532" s="7"/>
      <c r="D532" s="7"/>
      <c r="E532" s="7"/>
      <c r="F532" s="7"/>
      <c r="G532" s="7"/>
    </row>
    <row r="533" ht="15.75" customHeight="1">
      <c r="A533" s="7"/>
      <c r="B533" s="7"/>
      <c r="C533" s="7"/>
      <c r="D533" s="7"/>
      <c r="E533" s="7"/>
      <c r="F533" s="7"/>
      <c r="G533" s="7"/>
    </row>
    <row r="534" ht="15.75" customHeight="1">
      <c r="A534" s="7"/>
      <c r="B534" s="7"/>
      <c r="C534" s="7"/>
      <c r="D534" s="7"/>
      <c r="E534" s="7"/>
      <c r="F534" s="7"/>
      <c r="G534" s="7"/>
    </row>
    <row r="535" ht="15.75" customHeight="1">
      <c r="A535" s="7"/>
      <c r="B535" s="7"/>
      <c r="C535" s="7"/>
      <c r="D535" s="7"/>
      <c r="E535" s="7"/>
      <c r="F535" s="7"/>
      <c r="G535" s="7"/>
    </row>
    <row r="536" ht="15.75" customHeight="1">
      <c r="A536" s="7"/>
      <c r="B536" s="7"/>
      <c r="C536" s="7"/>
      <c r="D536" s="7"/>
      <c r="E536" s="7"/>
      <c r="F536" s="7"/>
      <c r="G536" s="7"/>
    </row>
    <row r="537" ht="15.75" customHeight="1">
      <c r="A537" s="7"/>
      <c r="B537" s="7"/>
      <c r="C537" s="7"/>
      <c r="D537" s="7"/>
      <c r="E537" s="7"/>
      <c r="F537" s="7"/>
      <c r="G537" s="7"/>
    </row>
    <row r="538" ht="15.75" customHeight="1">
      <c r="A538" s="7"/>
      <c r="B538" s="7"/>
      <c r="C538" s="7"/>
      <c r="D538" s="7"/>
      <c r="E538" s="7"/>
      <c r="F538" s="7"/>
      <c r="G538" s="7"/>
    </row>
    <row r="539" ht="15.75" customHeight="1">
      <c r="A539" s="7"/>
      <c r="B539" s="7"/>
      <c r="C539" s="7"/>
      <c r="D539" s="7"/>
      <c r="E539" s="7"/>
      <c r="F539" s="7"/>
      <c r="G539" s="7"/>
    </row>
    <row r="540" ht="15.75" customHeight="1">
      <c r="A540" s="7"/>
      <c r="B540" s="7"/>
      <c r="C540" s="7"/>
      <c r="D540" s="7"/>
      <c r="E540" s="7"/>
      <c r="F540" s="7"/>
      <c r="G540" s="7"/>
    </row>
    <row r="541" ht="15.75" customHeight="1">
      <c r="A541" s="7"/>
      <c r="B541" s="7"/>
      <c r="C541" s="7"/>
      <c r="D541" s="7"/>
      <c r="E541" s="7"/>
      <c r="F541" s="7"/>
      <c r="G541" s="7"/>
    </row>
    <row r="542" ht="15.75" customHeight="1">
      <c r="A542" s="7"/>
      <c r="B542" s="7"/>
      <c r="C542" s="7"/>
      <c r="D542" s="7"/>
      <c r="E542" s="7"/>
      <c r="F542" s="7"/>
      <c r="G542" s="7"/>
    </row>
    <row r="543" ht="15.75" customHeight="1">
      <c r="A543" s="7"/>
      <c r="B543" s="7"/>
      <c r="C543" s="7"/>
      <c r="D543" s="7"/>
      <c r="E543" s="7"/>
      <c r="F543" s="7"/>
      <c r="G543" s="7"/>
    </row>
    <row r="544" ht="15.75" customHeight="1">
      <c r="A544" s="7"/>
      <c r="B544" s="7"/>
      <c r="C544" s="7"/>
      <c r="D544" s="7"/>
      <c r="E544" s="7"/>
      <c r="F544" s="7"/>
      <c r="G544" s="7"/>
    </row>
    <row r="545" ht="15.75" customHeight="1">
      <c r="A545" s="7"/>
      <c r="B545" s="7"/>
      <c r="C545" s="7"/>
      <c r="D545" s="7"/>
      <c r="E545" s="7"/>
      <c r="F545" s="7"/>
      <c r="G545" s="7"/>
    </row>
    <row r="546" ht="15.75" customHeight="1">
      <c r="A546" s="7"/>
      <c r="B546" s="7"/>
      <c r="C546" s="7"/>
      <c r="D546" s="7"/>
      <c r="E546" s="7"/>
      <c r="F546" s="7"/>
      <c r="G546" s="7"/>
    </row>
    <row r="547" ht="15.75" customHeight="1">
      <c r="A547" s="7"/>
      <c r="B547" s="7"/>
      <c r="C547" s="7"/>
      <c r="D547" s="7"/>
      <c r="E547" s="7"/>
      <c r="F547" s="7"/>
      <c r="G547" s="7"/>
    </row>
    <row r="548" ht="15.75" customHeight="1">
      <c r="A548" s="7"/>
      <c r="B548" s="7"/>
      <c r="C548" s="7"/>
      <c r="D548" s="7"/>
      <c r="E548" s="7"/>
      <c r="F548" s="7"/>
      <c r="G548" s="7"/>
    </row>
    <row r="549" ht="15.75" customHeight="1">
      <c r="A549" s="7"/>
      <c r="B549" s="7"/>
      <c r="C549" s="7"/>
      <c r="D549" s="7"/>
      <c r="E549" s="7"/>
      <c r="F549" s="7"/>
      <c r="G549" s="7"/>
    </row>
    <row r="550" ht="15.75" customHeight="1">
      <c r="A550" s="7"/>
      <c r="B550" s="7"/>
      <c r="C550" s="7"/>
      <c r="D550" s="7"/>
      <c r="E550" s="7"/>
      <c r="F550" s="7"/>
      <c r="G550" s="7"/>
    </row>
    <row r="551" ht="15.75" customHeight="1">
      <c r="A551" s="7"/>
      <c r="B551" s="7"/>
      <c r="C551" s="7"/>
      <c r="D551" s="7"/>
      <c r="E551" s="7"/>
      <c r="F551" s="7"/>
      <c r="G551" s="7"/>
    </row>
    <row r="552" ht="15.75" customHeight="1">
      <c r="A552" s="7"/>
      <c r="B552" s="7"/>
      <c r="C552" s="7"/>
      <c r="D552" s="7"/>
      <c r="E552" s="7"/>
      <c r="F552" s="7"/>
      <c r="G552" s="7"/>
    </row>
    <row r="553" ht="15.75" customHeight="1">
      <c r="A553" s="7"/>
      <c r="B553" s="7"/>
      <c r="C553" s="7"/>
      <c r="D553" s="7"/>
      <c r="E553" s="7"/>
      <c r="F553" s="7"/>
      <c r="G553" s="7"/>
    </row>
    <row r="554" ht="15.75" customHeight="1">
      <c r="A554" s="7"/>
      <c r="B554" s="7"/>
      <c r="C554" s="7"/>
      <c r="D554" s="7"/>
      <c r="E554" s="7"/>
      <c r="F554" s="7"/>
      <c r="G554" s="7"/>
    </row>
    <row r="555" ht="15.75" customHeight="1">
      <c r="A555" s="7"/>
      <c r="B555" s="7"/>
      <c r="C555" s="7"/>
      <c r="D555" s="7"/>
      <c r="E555" s="7"/>
      <c r="F555" s="7"/>
      <c r="G555" s="7"/>
    </row>
    <row r="556" ht="15.75" customHeight="1">
      <c r="A556" s="7"/>
      <c r="B556" s="7"/>
      <c r="C556" s="7"/>
      <c r="D556" s="7"/>
      <c r="E556" s="7"/>
      <c r="F556" s="7"/>
      <c r="G556" s="7"/>
    </row>
    <row r="557" ht="15.75" customHeight="1">
      <c r="A557" s="7"/>
      <c r="B557" s="7"/>
      <c r="C557" s="7"/>
      <c r="D557" s="7"/>
      <c r="E557" s="7"/>
      <c r="F557" s="7"/>
      <c r="G557" s="7"/>
    </row>
    <row r="558" ht="15.75" customHeight="1">
      <c r="A558" s="7"/>
      <c r="B558" s="7"/>
      <c r="C558" s="7"/>
      <c r="D558" s="7"/>
      <c r="E558" s="7"/>
      <c r="F558" s="7"/>
      <c r="G558" s="7"/>
    </row>
    <row r="559" ht="15.75" customHeight="1">
      <c r="A559" s="7"/>
      <c r="B559" s="7"/>
      <c r="C559" s="7"/>
      <c r="D559" s="7"/>
      <c r="E559" s="7"/>
      <c r="F559" s="7"/>
      <c r="G559" s="7"/>
    </row>
    <row r="560" ht="15.75" customHeight="1">
      <c r="A560" s="7"/>
      <c r="B560" s="7"/>
      <c r="C560" s="7"/>
      <c r="D560" s="7"/>
      <c r="E560" s="7"/>
      <c r="F560" s="7"/>
      <c r="G560" s="7"/>
    </row>
    <row r="561" ht="15.75" customHeight="1">
      <c r="A561" s="7"/>
      <c r="B561" s="7"/>
      <c r="C561" s="7"/>
      <c r="D561" s="7"/>
      <c r="E561" s="7"/>
      <c r="F561" s="7"/>
      <c r="G561" s="7"/>
    </row>
    <row r="562" ht="15.75" customHeight="1">
      <c r="A562" s="7"/>
      <c r="B562" s="7"/>
      <c r="C562" s="7"/>
      <c r="D562" s="7"/>
      <c r="E562" s="7"/>
      <c r="F562" s="7"/>
      <c r="G562" s="7"/>
    </row>
    <row r="563" ht="15.75" customHeight="1">
      <c r="A563" s="7"/>
      <c r="B563" s="7"/>
      <c r="C563" s="7"/>
      <c r="D563" s="7"/>
      <c r="E563" s="7"/>
      <c r="F563" s="7"/>
      <c r="G563" s="7"/>
    </row>
    <row r="564" ht="15.75" customHeight="1">
      <c r="A564" s="7"/>
      <c r="B564" s="7"/>
      <c r="C564" s="7"/>
      <c r="D564" s="7"/>
      <c r="E564" s="7"/>
      <c r="F564" s="7"/>
      <c r="G564" s="7"/>
    </row>
    <row r="565" ht="15.75" customHeight="1">
      <c r="A565" s="7"/>
      <c r="B565" s="7"/>
      <c r="C565" s="7"/>
      <c r="D565" s="7"/>
      <c r="E565" s="7"/>
      <c r="F565" s="7"/>
      <c r="G565" s="7"/>
    </row>
    <row r="566" ht="15.75" customHeight="1">
      <c r="A566" s="7"/>
      <c r="B566" s="7"/>
      <c r="C566" s="7"/>
      <c r="D566" s="7"/>
      <c r="E566" s="7"/>
      <c r="F566" s="7"/>
      <c r="G566" s="7"/>
    </row>
    <row r="567" ht="15.75" customHeight="1">
      <c r="A567" s="7"/>
      <c r="B567" s="7"/>
      <c r="C567" s="7"/>
      <c r="D567" s="7"/>
      <c r="E567" s="7"/>
      <c r="F567" s="7"/>
      <c r="G567" s="7"/>
    </row>
    <row r="568" ht="15.75" customHeight="1">
      <c r="A568" s="7"/>
      <c r="B568" s="7"/>
      <c r="C568" s="7"/>
      <c r="D568" s="7"/>
      <c r="E568" s="7"/>
      <c r="F568" s="7"/>
      <c r="G568" s="7"/>
    </row>
    <row r="569" ht="15.75" customHeight="1">
      <c r="A569" s="7"/>
      <c r="B569" s="7"/>
      <c r="C569" s="7"/>
      <c r="D569" s="7"/>
      <c r="E569" s="7"/>
      <c r="F569" s="7"/>
      <c r="G569" s="7"/>
    </row>
    <row r="570" ht="15.75" customHeight="1">
      <c r="A570" s="7"/>
      <c r="B570" s="7"/>
      <c r="C570" s="7"/>
      <c r="D570" s="7"/>
      <c r="E570" s="7"/>
      <c r="F570" s="7"/>
      <c r="G570" s="7"/>
    </row>
    <row r="571" ht="15.75" customHeight="1">
      <c r="A571" s="7"/>
      <c r="B571" s="7"/>
      <c r="C571" s="7"/>
      <c r="D571" s="7"/>
      <c r="E571" s="7"/>
      <c r="F571" s="7"/>
      <c r="G571" s="7"/>
    </row>
    <row r="572" ht="15.75" customHeight="1">
      <c r="A572" s="7"/>
      <c r="B572" s="7"/>
      <c r="C572" s="7"/>
      <c r="D572" s="7"/>
      <c r="E572" s="7"/>
      <c r="F572" s="7"/>
      <c r="G572" s="7"/>
    </row>
    <row r="573" ht="15.75" customHeight="1">
      <c r="A573" s="7"/>
      <c r="B573" s="7"/>
      <c r="C573" s="7"/>
      <c r="D573" s="7"/>
      <c r="E573" s="7"/>
      <c r="F573" s="7"/>
      <c r="G573" s="7"/>
    </row>
    <row r="574" ht="15.75" customHeight="1">
      <c r="A574" s="7"/>
      <c r="B574" s="7"/>
      <c r="C574" s="7"/>
      <c r="D574" s="7"/>
      <c r="E574" s="7"/>
      <c r="F574" s="7"/>
      <c r="G574" s="7"/>
    </row>
    <row r="575" ht="15.75" customHeight="1">
      <c r="A575" s="7"/>
      <c r="B575" s="7"/>
      <c r="C575" s="7"/>
      <c r="D575" s="7"/>
      <c r="E575" s="7"/>
      <c r="F575" s="7"/>
      <c r="G575" s="7"/>
    </row>
    <row r="576" ht="15.75" customHeight="1">
      <c r="A576" s="7"/>
      <c r="B576" s="7"/>
      <c r="C576" s="7"/>
      <c r="D576" s="7"/>
      <c r="E576" s="7"/>
      <c r="F576" s="7"/>
      <c r="G576" s="7"/>
    </row>
    <row r="577" ht="15.75" customHeight="1">
      <c r="A577" s="7"/>
      <c r="B577" s="7"/>
      <c r="C577" s="7"/>
      <c r="D577" s="7"/>
      <c r="E577" s="7"/>
      <c r="F577" s="7"/>
      <c r="G577" s="7"/>
    </row>
    <row r="578" ht="15.75" customHeight="1">
      <c r="A578" s="7"/>
      <c r="B578" s="7"/>
      <c r="C578" s="7"/>
      <c r="D578" s="7"/>
      <c r="E578" s="7"/>
      <c r="F578" s="7"/>
      <c r="G578" s="7"/>
    </row>
    <row r="579" ht="15.75" customHeight="1">
      <c r="A579" s="7"/>
      <c r="B579" s="7"/>
      <c r="C579" s="7"/>
      <c r="D579" s="7"/>
      <c r="E579" s="7"/>
      <c r="F579" s="7"/>
      <c r="G579" s="7"/>
    </row>
    <row r="580" ht="15.75" customHeight="1">
      <c r="A580" s="7"/>
      <c r="B580" s="7"/>
      <c r="C580" s="7"/>
      <c r="D580" s="7"/>
      <c r="E580" s="7"/>
      <c r="F580" s="7"/>
      <c r="G580" s="7"/>
    </row>
    <row r="581" ht="15.75" customHeight="1">
      <c r="A581" s="7"/>
      <c r="B581" s="7"/>
      <c r="C581" s="7"/>
      <c r="D581" s="7"/>
      <c r="E581" s="7"/>
      <c r="F581" s="7"/>
      <c r="G581" s="7"/>
    </row>
    <row r="582" ht="15.75" customHeight="1">
      <c r="A582" s="7"/>
      <c r="B582" s="7"/>
      <c r="C582" s="7"/>
      <c r="D582" s="7"/>
      <c r="E582" s="7"/>
      <c r="F582" s="7"/>
      <c r="G582" s="7"/>
    </row>
    <row r="583" ht="15.75" customHeight="1">
      <c r="A583" s="7"/>
      <c r="B583" s="7"/>
      <c r="C583" s="7"/>
      <c r="D583" s="7"/>
      <c r="E583" s="7"/>
      <c r="F583" s="7"/>
      <c r="G583" s="7"/>
    </row>
    <row r="584" ht="15.75" customHeight="1">
      <c r="A584" s="7"/>
      <c r="B584" s="7"/>
      <c r="C584" s="7"/>
      <c r="D584" s="7"/>
      <c r="E584" s="7"/>
      <c r="F584" s="7"/>
      <c r="G584" s="7"/>
    </row>
    <row r="585" ht="15.75" customHeight="1">
      <c r="A585" s="7"/>
      <c r="B585" s="7"/>
      <c r="C585" s="7"/>
      <c r="D585" s="7"/>
      <c r="E585" s="7"/>
      <c r="F585" s="7"/>
      <c r="G585" s="7"/>
    </row>
    <row r="586" ht="15.75" customHeight="1">
      <c r="A586" s="7"/>
      <c r="B586" s="7"/>
      <c r="C586" s="7"/>
      <c r="D586" s="7"/>
      <c r="E586" s="7"/>
      <c r="F586" s="7"/>
      <c r="G586" s="7"/>
    </row>
    <row r="587" ht="15.75" customHeight="1">
      <c r="A587" s="7"/>
      <c r="B587" s="7"/>
      <c r="C587" s="7"/>
      <c r="D587" s="7"/>
      <c r="E587" s="7"/>
      <c r="F587" s="7"/>
      <c r="G587" s="7"/>
    </row>
    <row r="588" ht="15.75" customHeight="1">
      <c r="A588" s="7"/>
      <c r="B588" s="7"/>
      <c r="C588" s="7"/>
      <c r="D588" s="7"/>
      <c r="E588" s="7"/>
      <c r="F588" s="7"/>
      <c r="G588" s="7"/>
    </row>
    <row r="589" ht="15.75" customHeight="1">
      <c r="A589" s="7"/>
      <c r="B589" s="7"/>
      <c r="C589" s="7"/>
      <c r="D589" s="7"/>
      <c r="E589" s="7"/>
      <c r="F589" s="7"/>
      <c r="G589" s="7"/>
    </row>
    <row r="590" ht="15.75" customHeight="1">
      <c r="A590" s="7"/>
      <c r="B590" s="7"/>
      <c r="C590" s="7"/>
      <c r="D590" s="7"/>
      <c r="E590" s="7"/>
      <c r="F590" s="7"/>
      <c r="G590" s="7"/>
    </row>
    <row r="591" ht="15.75" customHeight="1">
      <c r="A591" s="7"/>
      <c r="B591" s="7"/>
      <c r="C591" s="7"/>
      <c r="D591" s="7"/>
      <c r="E591" s="7"/>
      <c r="F591" s="7"/>
      <c r="G591" s="7"/>
    </row>
    <row r="592" ht="15.75" customHeight="1">
      <c r="A592" s="7"/>
      <c r="B592" s="7"/>
      <c r="C592" s="7"/>
      <c r="D592" s="7"/>
      <c r="E592" s="7"/>
      <c r="F592" s="7"/>
      <c r="G592" s="7"/>
    </row>
    <row r="593" ht="15.75" customHeight="1">
      <c r="A593" s="7"/>
      <c r="B593" s="7"/>
      <c r="C593" s="7"/>
      <c r="D593" s="7"/>
      <c r="E593" s="7"/>
      <c r="F593" s="7"/>
      <c r="G593" s="7"/>
    </row>
    <row r="594" ht="15.75" customHeight="1">
      <c r="A594" s="7"/>
      <c r="B594" s="7"/>
      <c r="C594" s="7"/>
      <c r="D594" s="7"/>
      <c r="E594" s="7"/>
      <c r="F594" s="7"/>
      <c r="G594" s="7"/>
    </row>
    <row r="595" ht="15.75" customHeight="1">
      <c r="A595" s="7"/>
      <c r="B595" s="7"/>
      <c r="C595" s="7"/>
      <c r="D595" s="7"/>
      <c r="E595" s="7"/>
      <c r="F595" s="7"/>
      <c r="G595" s="7"/>
    </row>
    <row r="596" ht="15.75" customHeight="1">
      <c r="A596" s="7"/>
      <c r="B596" s="7"/>
      <c r="C596" s="7"/>
      <c r="D596" s="7"/>
      <c r="E596" s="7"/>
      <c r="F596" s="7"/>
      <c r="G596" s="7"/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</sheetData>
  <mergeCells count="18">
    <mergeCell ref="E6:F6"/>
    <mergeCell ref="E7:F7"/>
    <mergeCell ref="A1:G1"/>
    <mergeCell ref="A2:G2"/>
    <mergeCell ref="A4:G4"/>
    <mergeCell ref="B5:C5"/>
    <mergeCell ref="E5:F5"/>
    <mergeCell ref="B6:C6"/>
    <mergeCell ref="B7:C7"/>
    <mergeCell ref="E12:F12"/>
    <mergeCell ref="A19:G19"/>
    <mergeCell ref="B8:C8"/>
    <mergeCell ref="E8:F8"/>
    <mergeCell ref="B9:C9"/>
    <mergeCell ref="E9:F9"/>
    <mergeCell ref="B11:C11"/>
    <mergeCell ref="E11:F11"/>
    <mergeCell ref="B12:C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86"/>
    <col customWidth="1" min="2" max="2" width="10.0"/>
    <col customWidth="1" min="3" max="3" width="16.0"/>
    <col customWidth="1" min="4" max="4" width="20.29"/>
    <col customWidth="1" min="5" max="26" width="8.71"/>
  </cols>
  <sheetData>
    <row r="1" ht="30.0" customHeight="1">
      <c r="A1" s="21" t="s">
        <v>15</v>
      </c>
      <c r="B1" s="2"/>
      <c r="C1" s="2"/>
      <c r="D1" s="3"/>
    </row>
    <row r="2">
      <c r="A2" s="7"/>
      <c r="B2" s="7"/>
      <c r="C2" s="7"/>
      <c r="D2" s="7"/>
    </row>
    <row r="3" ht="21.75" customHeight="1">
      <c r="A3" s="22" t="s">
        <v>16</v>
      </c>
      <c r="B3" s="22" t="s">
        <v>17</v>
      </c>
      <c r="C3" s="23" t="s">
        <v>18</v>
      </c>
      <c r="D3" s="24" t="s">
        <v>19</v>
      </c>
    </row>
    <row r="4" ht="19.5" customHeight="1">
      <c r="A4" s="25" t="s">
        <v>20</v>
      </c>
      <c r="B4" s="26" t="s">
        <v>21</v>
      </c>
      <c r="C4" s="27">
        <v>31.389000000000003</v>
      </c>
      <c r="D4" s="28">
        <v>46149.84939814815</v>
      </c>
    </row>
    <row r="5" ht="19.5" customHeight="1">
      <c r="A5" s="25" t="s">
        <v>22</v>
      </c>
      <c r="B5" s="26" t="s">
        <v>23</v>
      </c>
      <c r="C5" s="27">
        <v>0.2007515</v>
      </c>
      <c r="D5" s="28">
        <v>46149.84939814815</v>
      </c>
    </row>
    <row r="6" ht="19.5" customHeight="1">
      <c r="A6" s="25" t="s">
        <v>24</v>
      </c>
      <c r="B6" s="26" t="s">
        <v>25</v>
      </c>
      <c r="C6" s="27">
        <v>36.94736</v>
      </c>
      <c r="D6" s="28">
        <v>46149.84939814815</v>
      </c>
    </row>
    <row r="7" ht="19.5" customHeight="1">
      <c r="A7" s="25" t="s">
        <v>26</v>
      </c>
      <c r="B7" s="26" t="s">
        <v>27</v>
      </c>
      <c r="C7" s="27">
        <v>4.007881</v>
      </c>
      <c r="D7" s="28">
        <v>46149.84939814815</v>
      </c>
    </row>
    <row r="8">
      <c r="A8" s="7"/>
      <c r="B8" s="7"/>
      <c r="C8" s="29"/>
      <c r="D8" s="30" t="s">
        <v>28</v>
      </c>
    </row>
    <row r="9" ht="18.0" customHeight="1">
      <c r="A9" s="20" t="s">
        <v>29</v>
      </c>
      <c r="B9" s="5"/>
      <c r="C9" s="5"/>
      <c r="D9" s="6"/>
    </row>
    <row r="10">
      <c r="A10" s="7"/>
      <c r="B10" s="7"/>
      <c r="C10" s="7"/>
      <c r="D10" s="7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 ht="15.75" customHeight="1">
      <c r="A21" s="7"/>
      <c r="B21" s="7"/>
      <c r="C21" s="7"/>
      <c r="D21" s="7"/>
    </row>
    <row r="22" ht="15.75" customHeight="1">
      <c r="A22" s="7"/>
      <c r="B22" s="7"/>
      <c r="C22" s="7"/>
      <c r="D22" s="7"/>
    </row>
    <row r="23" ht="15.75" customHeight="1">
      <c r="A23" s="7"/>
      <c r="B23" s="7"/>
      <c r="C23" s="7"/>
      <c r="D23" s="7"/>
    </row>
    <row r="24" ht="15.75" customHeight="1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>
      <c r="A293" s="7"/>
      <c r="B293" s="7"/>
      <c r="C293" s="7"/>
      <c r="D293" s="7"/>
    </row>
    <row r="294" ht="15.75" customHeight="1">
      <c r="A294" s="7"/>
      <c r="B294" s="7"/>
      <c r="C294" s="7"/>
      <c r="D294" s="7"/>
    </row>
    <row r="295" ht="15.75" customHeight="1">
      <c r="A295" s="7"/>
      <c r="B295" s="7"/>
      <c r="C295" s="7"/>
      <c r="D295" s="7"/>
    </row>
    <row r="296" ht="15.75" customHeight="1">
      <c r="A296" s="7"/>
      <c r="B296" s="7"/>
      <c r="C296" s="7"/>
      <c r="D296" s="7"/>
    </row>
    <row r="297" ht="15.75" customHeight="1">
      <c r="A297" s="7"/>
      <c r="B297" s="7"/>
      <c r="C297" s="7"/>
      <c r="D297" s="7"/>
    </row>
    <row r="298" ht="15.75" customHeight="1">
      <c r="A298" s="7"/>
      <c r="B298" s="7"/>
      <c r="C298" s="7"/>
      <c r="D298" s="7"/>
    </row>
    <row r="299" ht="15.75" customHeight="1">
      <c r="A299" s="7"/>
      <c r="B299" s="7"/>
      <c r="C299" s="7"/>
      <c r="D299" s="7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7"/>
      <c r="B303" s="7"/>
      <c r="C303" s="7"/>
      <c r="D303" s="7"/>
    </row>
    <row r="304" ht="15.75" customHeight="1">
      <c r="A304" s="7"/>
      <c r="B304" s="7"/>
      <c r="C304" s="7"/>
      <c r="D304" s="7"/>
    </row>
    <row r="305" ht="15.75" customHeight="1">
      <c r="A305" s="7"/>
      <c r="B305" s="7"/>
      <c r="C305" s="7"/>
      <c r="D305" s="7"/>
    </row>
    <row r="306" ht="15.75" customHeight="1">
      <c r="A306" s="7"/>
      <c r="B306" s="7"/>
      <c r="C306" s="7"/>
      <c r="D306" s="7"/>
    </row>
    <row r="307" ht="15.75" customHeight="1">
      <c r="A307" s="7"/>
      <c r="B307" s="7"/>
      <c r="C307" s="7"/>
      <c r="D307" s="7"/>
    </row>
    <row r="308" ht="15.75" customHeight="1">
      <c r="A308" s="7"/>
      <c r="B308" s="7"/>
      <c r="C308" s="7"/>
      <c r="D308" s="7"/>
    </row>
    <row r="309" ht="15.75" customHeight="1">
      <c r="A309" s="7"/>
      <c r="B309" s="7"/>
      <c r="C309" s="7"/>
      <c r="D309" s="7"/>
    </row>
    <row r="310" ht="15.75" customHeight="1">
      <c r="A310" s="7"/>
      <c r="B310" s="7"/>
      <c r="C310" s="7"/>
      <c r="D310" s="7"/>
    </row>
    <row r="311" ht="15.75" customHeight="1">
      <c r="A311" s="7"/>
      <c r="B311" s="7"/>
      <c r="C311" s="7"/>
      <c r="D311" s="7"/>
    </row>
    <row r="312" ht="15.75" customHeight="1">
      <c r="A312" s="7"/>
      <c r="B312" s="7"/>
      <c r="C312" s="7"/>
      <c r="D312" s="7"/>
    </row>
    <row r="313" ht="15.75" customHeight="1">
      <c r="A313" s="7"/>
      <c r="B313" s="7"/>
      <c r="C313" s="7"/>
      <c r="D313" s="7"/>
    </row>
    <row r="314" ht="15.75" customHeight="1">
      <c r="A314" s="7"/>
      <c r="B314" s="7"/>
      <c r="C314" s="7"/>
      <c r="D314" s="7"/>
    </row>
    <row r="315" ht="15.75" customHeight="1">
      <c r="A315" s="7"/>
      <c r="B315" s="7"/>
      <c r="C315" s="7"/>
      <c r="D315" s="7"/>
    </row>
    <row r="316" ht="15.75" customHeight="1">
      <c r="A316" s="7"/>
      <c r="B316" s="7"/>
      <c r="C316" s="7"/>
      <c r="D316" s="7"/>
    </row>
    <row r="317" ht="15.75" customHeight="1">
      <c r="A317" s="7"/>
      <c r="B317" s="7"/>
      <c r="C317" s="7"/>
      <c r="D317" s="7"/>
    </row>
    <row r="318" ht="15.75" customHeight="1">
      <c r="A318" s="7"/>
      <c r="B318" s="7"/>
      <c r="C318" s="7"/>
      <c r="D318" s="7"/>
    </row>
    <row r="319" ht="15.75" customHeight="1">
      <c r="A319" s="7"/>
      <c r="B319" s="7"/>
      <c r="C319" s="7"/>
      <c r="D319" s="7"/>
    </row>
    <row r="320" ht="15.75" customHeight="1">
      <c r="A320" s="7"/>
      <c r="B320" s="7"/>
      <c r="C320" s="7"/>
      <c r="D320" s="7"/>
    </row>
    <row r="321" ht="15.75" customHeight="1">
      <c r="A321" s="7"/>
      <c r="B321" s="7"/>
      <c r="C321" s="7"/>
      <c r="D321" s="7"/>
    </row>
    <row r="322" ht="15.75" customHeight="1">
      <c r="A322" s="7"/>
      <c r="B322" s="7"/>
      <c r="C322" s="7"/>
      <c r="D322" s="7"/>
    </row>
    <row r="323" ht="15.75" customHeight="1">
      <c r="A323" s="7"/>
      <c r="B323" s="7"/>
      <c r="C323" s="7"/>
      <c r="D323" s="7"/>
    </row>
    <row r="324" ht="15.75" customHeight="1">
      <c r="A324" s="7"/>
      <c r="B324" s="7"/>
      <c r="C324" s="7"/>
      <c r="D324" s="7"/>
    </row>
    <row r="325" ht="15.75" customHeight="1">
      <c r="A325" s="7"/>
      <c r="B325" s="7"/>
      <c r="C325" s="7"/>
      <c r="D325" s="7"/>
    </row>
    <row r="326" ht="15.75" customHeight="1">
      <c r="A326" s="7"/>
      <c r="B326" s="7"/>
      <c r="C326" s="7"/>
      <c r="D326" s="7"/>
    </row>
    <row r="327" ht="15.75" customHeight="1">
      <c r="A327" s="7"/>
      <c r="B327" s="7"/>
      <c r="C327" s="7"/>
      <c r="D327" s="7"/>
    </row>
    <row r="328" ht="15.75" customHeight="1">
      <c r="A328" s="7"/>
      <c r="B328" s="7"/>
      <c r="C328" s="7"/>
      <c r="D328" s="7"/>
    </row>
    <row r="329" ht="15.75" customHeight="1">
      <c r="A329" s="7"/>
      <c r="B329" s="7"/>
      <c r="C329" s="7"/>
      <c r="D329" s="7"/>
    </row>
    <row r="330" ht="15.75" customHeight="1">
      <c r="A330" s="7"/>
      <c r="B330" s="7"/>
      <c r="C330" s="7"/>
      <c r="D330" s="7"/>
    </row>
    <row r="331" ht="15.75" customHeight="1">
      <c r="A331" s="7"/>
      <c r="B331" s="7"/>
      <c r="C331" s="7"/>
      <c r="D331" s="7"/>
    </row>
    <row r="332" ht="15.75" customHeight="1">
      <c r="A332" s="7"/>
      <c r="B332" s="7"/>
      <c r="C332" s="7"/>
      <c r="D332" s="7"/>
    </row>
    <row r="333" ht="15.75" customHeight="1">
      <c r="A333" s="7"/>
      <c r="B333" s="7"/>
      <c r="C333" s="7"/>
      <c r="D333" s="7"/>
    </row>
    <row r="334" ht="15.75" customHeight="1">
      <c r="A334" s="7"/>
      <c r="B334" s="7"/>
      <c r="C334" s="7"/>
      <c r="D334" s="7"/>
    </row>
    <row r="335" ht="15.75" customHeight="1">
      <c r="A335" s="7"/>
      <c r="B335" s="7"/>
      <c r="C335" s="7"/>
      <c r="D335" s="7"/>
    </row>
    <row r="336" ht="15.75" customHeight="1">
      <c r="A336" s="7"/>
      <c r="B336" s="7"/>
      <c r="C336" s="7"/>
      <c r="D336" s="7"/>
    </row>
    <row r="337" ht="15.75" customHeight="1">
      <c r="A337" s="7"/>
      <c r="B337" s="7"/>
      <c r="C337" s="7"/>
      <c r="D337" s="7"/>
    </row>
    <row r="338" ht="15.75" customHeight="1">
      <c r="A338" s="7"/>
      <c r="B338" s="7"/>
      <c r="C338" s="7"/>
      <c r="D338" s="7"/>
    </row>
    <row r="339" ht="15.75" customHeight="1">
      <c r="A339" s="7"/>
      <c r="B339" s="7"/>
      <c r="C339" s="7"/>
      <c r="D339" s="7"/>
    </row>
    <row r="340" ht="15.75" customHeight="1">
      <c r="A340" s="7"/>
      <c r="B340" s="7"/>
      <c r="C340" s="7"/>
      <c r="D340" s="7"/>
    </row>
    <row r="341" ht="15.75" customHeight="1">
      <c r="A341" s="7"/>
      <c r="B341" s="7"/>
      <c r="C341" s="7"/>
      <c r="D341" s="7"/>
    </row>
    <row r="342" ht="15.75" customHeight="1">
      <c r="A342" s="7"/>
      <c r="B342" s="7"/>
      <c r="C342" s="7"/>
      <c r="D342" s="7"/>
    </row>
    <row r="343" ht="15.75" customHeight="1">
      <c r="A343" s="7"/>
      <c r="B343" s="7"/>
      <c r="C343" s="7"/>
      <c r="D343" s="7"/>
    </row>
    <row r="344" ht="15.75" customHeight="1">
      <c r="A344" s="7"/>
      <c r="B344" s="7"/>
      <c r="C344" s="7"/>
      <c r="D344" s="7"/>
    </row>
    <row r="345" ht="15.75" customHeight="1">
      <c r="A345" s="7"/>
      <c r="B345" s="7"/>
      <c r="C345" s="7"/>
      <c r="D345" s="7"/>
    </row>
    <row r="346" ht="15.75" customHeight="1">
      <c r="A346" s="7"/>
      <c r="B346" s="7"/>
      <c r="C346" s="7"/>
      <c r="D346" s="7"/>
    </row>
    <row r="347" ht="15.75" customHeight="1">
      <c r="A347" s="7"/>
      <c r="B347" s="7"/>
      <c r="C347" s="7"/>
      <c r="D347" s="7"/>
    </row>
    <row r="348" ht="15.75" customHeight="1">
      <c r="A348" s="7"/>
      <c r="B348" s="7"/>
      <c r="C348" s="7"/>
      <c r="D348" s="7"/>
    </row>
    <row r="349" ht="15.75" customHeight="1">
      <c r="A349" s="7"/>
      <c r="B349" s="7"/>
      <c r="C349" s="7"/>
      <c r="D349" s="7"/>
    </row>
    <row r="350" ht="15.75" customHeight="1">
      <c r="A350" s="7"/>
      <c r="B350" s="7"/>
      <c r="C350" s="7"/>
      <c r="D350" s="7"/>
    </row>
    <row r="351" ht="15.75" customHeight="1">
      <c r="A351" s="7"/>
      <c r="B351" s="7"/>
      <c r="C351" s="7"/>
      <c r="D351" s="7"/>
    </row>
    <row r="352" ht="15.75" customHeight="1">
      <c r="A352" s="7"/>
      <c r="B352" s="7"/>
      <c r="C352" s="7"/>
      <c r="D352" s="7"/>
    </row>
    <row r="353" ht="15.75" customHeight="1">
      <c r="A353" s="7"/>
      <c r="B353" s="7"/>
      <c r="C353" s="7"/>
      <c r="D353" s="7"/>
    </row>
    <row r="354" ht="15.75" customHeight="1">
      <c r="A354" s="7"/>
      <c r="B354" s="7"/>
      <c r="C354" s="7"/>
      <c r="D354" s="7"/>
    </row>
    <row r="355" ht="15.75" customHeight="1">
      <c r="A355" s="7"/>
      <c r="B355" s="7"/>
      <c r="C355" s="7"/>
      <c r="D355" s="7"/>
    </row>
    <row r="356" ht="15.75" customHeight="1">
      <c r="A356" s="7"/>
      <c r="B356" s="7"/>
      <c r="C356" s="7"/>
      <c r="D356" s="7"/>
    </row>
    <row r="357" ht="15.75" customHeight="1">
      <c r="A357" s="7"/>
      <c r="B357" s="7"/>
      <c r="C357" s="7"/>
      <c r="D357" s="7"/>
    </row>
    <row r="358" ht="15.75" customHeight="1">
      <c r="A358" s="7"/>
      <c r="B358" s="7"/>
      <c r="C358" s="7"/>
      <c r="D358" s="7"/>
    </row>
    <row r="359" ht="15.75" customHeight="1">
      <c r="A359" s="7"/>
      <c r="B359" s="7"/>
      <c r="C359" s="7"/>
      <c r="D359" s="7"/>
    </row>
    <row r="360" ht="15.75" customHeight="1">
      <c r="A360" s="7"/>
      <c r="B360" s="7"/>
      <c r="C360" s="7"/>
      <c r="D360" s="7"/>
    </row>
    <row r="361" ht="15.75" customHeight="1">
      <c r="A361" s="7"/>
      <c r="B361" s="7"/>
      <c r="C361" s="7"/>
      <c r="D361" s="7"/>
    </row>
    <row r="362" ht="15.75" customHeight="1">
      <c r="A362" s="7"/>
      <c r="B362" s="7"/>
      <c r="C362" s="7"/>
      <c r="D362" s="7"/>
    </row>
    <row r="363" ht="15.75" customHeight="1">
      <c r="A363" s="7"/>
      <c r="B363" s="7"/>
      <c r="C363" s="7"/>
      <c r="D363" s="7"/>
    </row>
    <row r="364" ht="15.75" customHeight="1">
      <c r="A364" s="7"/>
      <c r="B364" s="7"/>
      <c r="C364" s="7"/>
      <c r="D364" s="7"/>
    </row>
    <row r="365" ht="15.75" customHeight="1">
      <c r="A365" s="7"/>
      <c r="B365" s="7"/>
      <c r="C365" s="7"/>
      <c r="D365" s="7"/>
    </row>
    <row r="366" ht="15.75" customHeight="1">
      <c r="A366" s="7"/>
      <c r="B366" s="7"/>
      <c r="C366" s="7"/>
      <c r="D366" s="7"/>
    </row>
    <row r="367" ht="15.75" customHeight="1">
      <c r="A367" s="7"/>
      <c r="B367" s="7"/>
      <c r="C367" s="7"/>
      <c r="D367" s="7"/>
    </row>
    <row r="368" ht="15.75" customHeight="1">
      <c r="A368" s="7"/>
      <c r="B368" s="7"/>
      <c r="C368" s="7"/>
      <c r="D368" s="7"/>
    </row>
    <row r="369" ht="15.75" customHeight="1">
      <c r="A369" s="7"/>
      <c r="B369" s="7"/>
      <c r="C369" s="7"/>
      <c r="D369" s="7"/>
    </row>
    <row r="370" ht="15.75" customHeight="1">
      <c r="A370" s="7"/>
      <c r="B370" s="7"/>
      <c r="C370" s="7"/>
      <c r="D370" s="7"/>
    </row>
    <row r="371" ht="15.75" customHeight="1">
      <c r="A371" s="7"/>
      <c r="B371" s="7"/>
      <c r="C371" s="7"/>
      <c r="D371" s="7"/>
    </row>
    <row r="372" ht="15.75" customHeight="1">
      <c r="A372" s="7"/>
      <c r="B372" s="7"/>
      <c r="C372" s="7"/>
      <c r="D372" s="7"/>
    </row>
    <row r="373" ht="15.75" customHeight="1">
      <c r="A373" s="7"/>
      <c r="B373" s="7"/>
      <c r="C373" s="7"/>
      <c r="D373" s="7"/>
    </row>
    <row r="374" ht="15.75" customHeight="1">
      <c r="A374" s="7"/>
      <c r="B374" s="7"/>
      <c r="C374" s="7"/>
      <c r="D374" s="7"/>
    </row>
    <row r="375" ht="15.75" customHeight="1">
      <c r="A375" s="7"/>
      <c r="B375" s="7"/>
      <c r="C375" s="7"/>
      <c r="D375" s="7"/>
    </row>
    <row r="376" ht="15.75" customHeight="1">
      <c r="A376" s="7"/>
      <c r="B376" s="7"/>
      <c r="C376" s="7"/>
      <c r="D376" s="7"/>
    </row>
    <row r="377" ht="15.75" customHeight="1">
      <c r="A377" s="7"/>
      <c r="B377" s="7"/>
      <c r="C377" s="7"/>
      <c r="D377" s="7"/>
    </row>
    <row r="378" ht="15.75" customHeight="1">
      <c r="A378" s="7"/>
      <c r="B378" s="7"/>
      <c r="C378" s="7"/>
      <c r="D378" s="7"/>
    </row>
    <row r="379" ht="15.75" customHeight="1">
      <c r="A379" s="7"/>
      <c r="B379" s="7"/>
      <c r="C379" s="7"/>
      <c r="D379" s="7"/>
    </row>
    <row r="380" ht="15.75" customHeight="1">
      <c r="A380" s="7"/>
      <c r="B380" s="7"/>
      <c r="C380" s="7"/>
      <c r="D380" s="7"/>
    </row>
    <row r="381" ht="15.75" customHeight="1">
      <c r="A381" s="7"/>
      <c r="B381" s="7"/>
      <c r="C381" s="7"/>
      <c r="D381" s="7"/>
    </row>
    <row r="382" ht="15.75" customHeight="1">
      <c r="A382" s="7"/>
      <c r="B382" s="7"/>
      <c r="C382" s="7"/>
      <c r="D382" s="7"/>
    </row>
    <row r="383" ht="15.75" customHeight="1">
      <c r="A383" s="7"/>
      <c r="B383" s="7"/>
      <c r="C383" s="7"/>
      <c r="D383" s="7"/>
    </row>
    <row r="384" ht="15.75" customHeight="1">
      <c r="A384" s="7"/>
      <c r="B384" s="7"/>
      <c r="C384" s="7"/>
      <c r="D384" s="7"/>
    </row>
    <row r="385" ht="15.75" customHeight="1">
      <c r="A385" s="7"/>
      <c r="B385" s="7"/>
      <c r="C385" s="7"/>
      <c r="D385" s="7"/>
    </row>
    <row r="386" ht="15.75" customHeight="1">
      <c r="A386" s="7"/>
      <c r="B386" s="7"/>
      <c r="C386" s="7"/>
      <c r="D386" s="7"/>
    </row>
    <row r="387" ht="15.75" customHeight="1">
      <c r="A387" s="7"/>
      <c r="B387" s="7"/>
      <c r="C387" s="7"/>
      <c r="D387" s="7"/>
    </row>
    <row r="388" ht="15.75" customHeight="1">
      <c r="A388" s="7"/>
      <c r="B388" s="7"/>
      <c r="C388" s="7"/>
      <c r="D388" s="7"/>
    </row>
    <row r="389" ht="15.75" customHeight="1">
      <c r="A389" s="7"/>
      <c r="B389" s="7"/>
      <c r="C389" s="7"/>
      <c r="D389" s="7"/>
    </row>
    <row r="390" ht="15.75" customHeight="1">
      <c r="A390" s="7"/>
      <c r="B390" s="7"/>
      <c r="C390" s="7"/>
      <c r="D390" s="7"/>
    </row>
    <row r="391" ht="15.75" customHeight="1">
      <c r="A391" s="7"/>
      <c r="B391" s="7"/>
      <c r="C391" s="7"/>
      <c r="D391" s="7"/>
    </row>
    <row r="392" ht="15.75" customHeight="1">
      <c r="A392" s="7"/>
      <c r="B392" s="7"/>
      <c r="C392" s="7"/>
      <c r="D392" s="7"/>
    </row>
    <row r="393" ht="15.75" customHeight="1">
      <c r="A393" s="7"/>
      <c r="B393" s="7"/>
      <c r="C393" s="7"/>
      <c r="D393" s="7"/>
    </row>
    <row r="394" ht="15.75" customHeight="1">
      <c r="A394" s="7"/>
      <c r="B394" s="7"/>
      <c r="C394" s="7"/>
      <c r="D394" s="7"/>
    </row>
    <row r="395" ht="15.75" customHeight="1">
      <c r="A395" s="7"/>
      <c r="B395" s="7"/>
      <c r="C395" s="7"/>
      <c r="D395" s="7"/>
    </row>
    <row r="396" ht="15.75" customHeight="1">
      <c r="A396" s="7"/>
      <c r="B396" s="7"/>
      <c r="C396" s="7"/>
      <c r="D396" s="7"/>
    </row>
    <row r="397" ht="15.75" customHeight="1">
      <c r="A397" s="7"/>
      <c r="B397" s="7"/>
      <c r="C397" s="7"/>
      <c r="D397" s="7"/>
    </row>
    <row r="398" ht="15.75" customHeight="1">
      <c r="A398" s="7"/>
      <c r="B398" s="7"/>
      <c r="C398" s="7"/>
      <c r="D398" s="7"/>
    </row>
    <row r="399" ht="15.75" customHeight="1">
      <c r="A399" s="7"/>
      <c r="B399" s="7"/>
      <c r="C399" s="7"/>
      <c r="D399" s="7"/>
    </row>
    <row r="400" ht="15.75" customHeight="1">
      <c r="A400" s="7"/>
      <c r="B400" s="7"/>
      <c r="C400" s="7"/>
      <c r="D400" s="7"/>
    </row>
    <row r="401" ht="15.75" customHeight="1">
      <c r="A401" s="7"/>
      <c r="B401" s="7"/>
      <c r="C401" s="7"/>
      <c r="D401" s="7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mergeCells count="2">
    <mergeCell ref="A1:D1"/>
    <mergeCell ref="A9:D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0"/>
    <col customWidth="1" min="3" max="3" width="16.0"/>
    <col customWidth="1" min="4" max="4" width="14.0"/>
    <col customWidth="1" min="5" max="5" width="9.57"/>
    <col customWidth="1" min="6" max="6" width="16.14"/>
    <col customWidth="1" min="7" max="7" width="18.86"/>
    <col customWidth="1" min="8" max="26" width="8.71"/>
  </cols>
  <sheetData>
    <row r="1" ht="30.0" customHeight="1">
      <c r="A1" s="21" t="s">
        <v>30</v>
      </c>
      <c r="B1" s="2"/>
      <c r="C1" s="2"/>
      <c r="D1" s="2"/>
      <c r="E1" s="2"/>
      <c r="F1" s="2"/>
      <c r="G1" s="3"/>
    </row>
    <row r="2" ht="21.75" customHeight="1">
      <c r="A2" s="22" t="s">
        <v>31</v>
      </c>
      <c r="B2" s="22" t="s">
        <v>32</v>
      </c>
      <c r="C2" s="22" t="s">
        <v>33</v>
      </c>
      <c r="D2" s="22" t="s">
        <v>34</v>
      </c>
      <c r="E2" s="22" t="s">
        <v>35</v>
      </c>
      <c r="F2" s="24" t="s">
        <v>36</v>
      </c>
      <c r="G2" s="31" t="s">
        <v>19</v>
      </c>
    </row>
    <row r="3" ht="19.5" customHeight="1">
      <c r="A3" s="32" t="s">
        <v>37</v>
      </c>
      <c r="B3" s="33" t="s">
        <v>23</v>
      </c>
      <c r="C3" s="34">
        <v>0.0</v>
      </c>
      <c r="D3" s="35">
        <f>'設定'!C5</f>
        <v>0.2007515</v>
      </c>
      <c r="E3" s="19">
        <f t="shared" ref="E3:E14" si="1">IF(C3="","-",C3*D3)</f>
        <v>0</v>
      </c>
      <c r="F3" s="36" t="s">
        <v>38</v>
      </c>
      <c r="G3" s="37">
        <v>46149.84939814815</v>
      </c>
    </row>
    <row r="4" ht="19.5" customHeight="1">
      <c r="A4" s="38" t="s">
        <v>39</v>
      </c>
      <c r="B4" s="39" t="s">
        <v>40</v>
      </c>
      <c r="C4" s="34">
        <v>500000.0</v>
      </c>
      <c r="D4" s="35">
        <v>1.0</v>
      </c>
      <c r="E4" s="19">
        <f t="shared" si="1"/>
        <v>500000</v>
      </c>
      <c r="F4" s="36" t="s">
        <v>38</v>
      </c>
      <c r="G4" s="37">
        <v>46149.84939814815</v>
      </c>
    </row>
    <row r="5" ht="19.5" customHeight="1">
      <c r="A5" s="32" t="s">
        <v>41</v>
      </c>
      <c r="B5" s="33" t="s">
        <v>40</v>
      </c>
      <c r="C5" s="34">
        <v>500000.0</v>
      </c>
      <c r="D5" s="35">
        <v>1.0</v>
      </c>
      <c r="E5" s="19">
        <f t="shared" si="1"/>
        <v>500000</v>
      </c>
      <c r="F5" s="36" t="s">
        <v>38</v>
      </c>
      <c r="G5" s="37">
        <v>46149.84939814815</v>
      </c>
    </row>
    <row r="6" ht="19.5" customHeight="1">
      <c r="A6" s="38" t="s">
        <v>42</v>
      </c>
      <c r="B6" s="39" t="s">
        <v>40</v>
      </c>
      <c r="C6" s="34">
        <v>500000.0</v>
      </c>
      <c r="D6" s="35">
        <v>1.0</v>
      </c>
      <c r="E6" s="19">
        <f t="shared" si="1"/>
        <v>500000</v>
      </c>
      <c r="F6" s="36" t="s">
        <v>43</v>
      </c>
      <c r="G6" s="37">
        <v>46149.84939814815</v>
      </c>
    </row>
    <row r="7" ht="19.5" customHeight="1">
      <c r="A7" s="32" t="s">
        <v>44</v>
      </c>
      <c r="B7" s="33" t="s">
        <v>40</v>
      </c>
      <c r="C7" s="34">
        <v>500000.0</v>
      </c>
      <c r="D7" s="35">
        <v>1.0</v>
      </c>
      <c r="E7" s="19">
        <f t="shared" si="1"/>
        <v>500000</v>
      </c>
      <c r="F7" s="36" t="s">
        <v>38</v>
      </c>
      <c r="G7" s="37">
        <v>46149.84939814815</v>
      </c>
    </row>
    <row r="8" ht="19.5" customHeight="1">
      <c r="A8" s="38" t="s">
        <v>45</v>
      </c>
      <c r="B8" s="39" t="s">
        <v>21</v>
      </c>
      <c r="C8" s="34">
        <v>0.0</v>
      </c>
      <c r="D8" s="35">
        <f>'設定'!C4</f>
        <v>31.389</v>
      </c>
      <c r="E8" s="19">
        <f t="shared" si="1"/>
        <v>0</v>
      </c>
      <c r="F8" s="36" t="s">
        <v>38</v>
      </c>
      <c r="G8" s="37">
        <v>46149.84939814815</v>
      </c>
    </row>
    <row r="9" ht="19.5" customHeight="1">
      <c r="A9" s="32" t="s">
        <v>46</v>
      </c>
      <c r="B9" s="33" t="s">
        <v>40</v>
      </c>
      <c r="C9" s="34">
        <v>500000.0</v>
      </c>
      <c r="D9" s="35">
        <v>1.0</v>
      </c>
      <c r="E9" s="19">
        <f t="shared" si="1"/>
        <v>500000</v>
      </c>
      <c r="F9" s="36" t="s">
        <v>47</v>
      </c>
      <c r="G9" s="37">
        <v>46149.84939814815</v>
      </c>
    </row>
    <row r="10" ht="19.5" customHeight="1">
      <c r="A10" s="38" t="s">
        <v>48</v>
      </c>
      <c r="B10" s="39" t="s">
        <v>21</v>
      </c>
      <c r="C10" s="34">
        <v>500000.0</v>
      </c>
      <c r="D10" s="35">
        <f>'設定'!C4</f>
        <v>31.389</v>
      </c>
      <c r="E10" s="19">
        <f t="shared" si="1"/>
        <v>15694500</v>
      </c>
      <c r="F10" s="36" t="s">
        <v>38</v>
      </c>
      <c r="G10" s="37">
        <v>46149.84939814815</v>
      </c>
    </row>
    <row r="11" ht="19.5" customHeight="1">
      <c r="A11" s="32" t="s">
        <v>49</v>
      </c>
      <c r="B11" s="33" t="s">
        <v>21</v>
      </c>
      <c r="C11" s="34">
        <v>0.0</v>
      </c>
      <c r="D11" s="35">
        <f>'設定'!C4</f>
        <v>31.389</v>
      </c>
      <c r="E11" s="19">
        <f t="shared" si="1"/>
        <v>0</v>
      </c>
      <c r="F11" s="36" t="s">
        <v>38</v>
      </c>
      <c r="G11" s="37">
        <v>46149.84939814815</v>
      </c>
    </row>
    <row r="12" ht="19.5" customHeight="1">
      <c r="A12" s="38"/>
      <c r="B12" s="39" t="s">
        <v>40</v>
      </c>
      <c r="C12" s="40"/>
      <c r="D12" s="35">
        <v>1.0</v>
      </c>
      <c r="E12" s="19" t="str">
        <f t="shared" si="1"/>
        <v>-</v>
      </c>
      <c r="F12" s="41"/>
      <c r="G12" s="42"/>
    </row>
    <row r="13" ht="19.5" customHeight="1">
      <c r="A13" s="32"/>
      <c r="B13" s="33" t="s">
        <v>40</v>
      </c>
      <c r="C13" s="40"/>
      <c r="D13" s="35">
        <v>1.0</v>
      </c>
      <c r="E13" s="19" t="str">
        <f t="shared" si="1"/>
        <v>-</v>
      </c>
      <c r="F13" s="41"/>
      <c r="G13" s="42"/>
    </row>
    <row r="14" ht="19.5" customHeight="1">
      <c r="A14" s="38"/>
      <c r="B14" s="39" t="s">
        <v>21</v>
      </c>
      <c r="C14" s="40"/>
      <c r="D14" s="35">
        <f>'設定'!C4</f>
        <v>31.389</v>
      </c>
      <c r="E14" s="19" t="str">
        <f t="shared" si="1"/>
        <v>-</v>
      </c>
      <c r="F14" s="41"/>
      <c r="G14" s="42"/>
    </row>
    <row r="15" ht="25.5" customHeight="1">
      <c r="A15" s="43" t="s">
        <v>50</v>
      </c>
      <c r="B15" s="2"/>
      <c r="C15" s="2"/>
      <c r="D15" s="3"/>
      <c r="E15" s="44">
        <f>SUM(E3:E14)</f>
        <v>18194500</v>
      </c>
      <c r="F15" s="45"/>
      <c r="G15" s="46">
        <v>46149.84939814815</v>
      </c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2">
    <mergeCell ref="A1:G1"/>
    <mergeCell ref="A15:D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12.0"/>
    <col customWidth="1" min="5" max="5" width="8.0"/>
    <col customWidth="1" min="6" max="6" width="12.0"/>
    <col customWidth="1" min="7" max="7" width="12.29"/>
    <col customWidth="1" min="8" max="8" width="11.43"/>
    <col customWidth="1" min="9" max="10" width="14.0"/>
    <col customWidth="1" min="11" max="11" width="13.71"/>
    <col customWidth="1" min="12" max="12" width="16.14"/>
    <col customWidth="1" min="13" max="26" width="8.71"/>
  </cols>
  <sheetData>
    <row r="1" ht="30.0" customHeight="1">
      <c r="A1" s="2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22" t="s">
        <v>52</v>
      </c>
      <c r="B2" s="22" t="s">
        <v>53</v>
      </c>
      <c r="C2" s="22" t="s">
        <v>17</v>
      </c>
      <c r="D2" s="22" t="s">
        <v>54</v>
      </c>
      <c r="E2" s="22" t="s">
        <v>32</v>
      </c>
      <c r="F2" s="24" t="s">
        <v>55</v>
      </c>
      <c r="G2" s="22" t="s">
        <v>56</v>
      </c>
      <c r="H2" s="22" t="s">
        <v>57</v>
      </c>
      <c r="I2" s="22" t="s">
        <v>58</v>
      </c>
      <c r="J2" s="22" t="s">
        <v>59</v>
      </c>
      <c r="K2" s="31" t="s">
        <v>36</v>
      </c>
      <c r="L2" s="31" t="s">
        <v>19</v>
      </c>
    </row>
    <row r="3" ht="19.5" customHeight="1">
      <c r="A3" s="47" t="s">
        <v>60</v>
      </c>
      <c r="B3" s="47" t="s">
        <v>61</v>
      </c>
      <c r="C3" s="48" t="s">
        <v>62</v>
      </c>
      <c r="D3" s="49">
        <v>21.0</v>
      </c>
      <c r="E3" s="48" t="s">
        <v>21</v>
      </c>
      <c r="F3" s="50">
        <v>109.56</v>
      </c>
      <c r="G3" s="40">
        <f t="shared" ref="G3:G23" si="1">IF(OR(D3="",F3=""),"-",D3*F3)</f>
        <v>2300.76</v>
      </c>
      <c r="H3" s="19">
        <f>IF(G3="-","-",IF(E3="TWD",G3,IF(E3="USD",G3*'設定'!C4,IF(E3="JPY",G3*'設定'!C5,IF(E3="EUR",G3*'設定'!C6,IF(E3="HKD",G3*'設定'!C7,G3))))))</f>
        <v>72218.55564</v>
      </c>
      <c r="I3" s="51"/>
      <c r="J3" s="19" t="str">
        <f t="shared" ref="J3:J23" si="2">IF(OR(H3="-",I3=""),"-",H3-I3)</f>
        <v>-</v>
      </c>
      <c r="L3" s="46">
        <v>46149.84939814815</v>
      </c>
    </row>
    <row r="4" ht="19.5" customHeight="1">
      <c r="A4" s="47" t="s">
        <v>63</v>
      </c>
      <c r="B4" s="47" t="s">
        <v>64</v>
      </c>
      <c r="C4" s="48" t="s">
        <v>65</v>
      </c>
      <c r="D4" s="49">
        <v>20.0</v>
      </c>
      <c r="E4" s="48" t="s">
        <v>21</v>
      </c>
      <c r="F4" s="50">
        <v>695.75</v>
      </c>
      <c r="G4" s="40">
        <f t="shared" si="1"/>
        <v>13915</v>
      </c>
      <c r="H4" s="19">
        <f>IF(G4="-","-",IF(E4="TWD",G4,IF(E4="USD",G4*'設定'!C4,IF(E4="JPY",G4*'設定'!C5,IF(E4="EUR",G4*'設定'!C6,IF(E4="HKD",G4*'設定'!C7,G4))))))</f>
        <v>436777.935</v>
      </c>
      <c r="I4" s="51"/>
      <c r="J4" s="19" t="str">
        <f t="shared" si="2"/>
        <v>-</v>
      </c>
      <c r="L4" s="46">
        <v>46149.84939814815</v>
      </c>
    </row>
    <row r="5" ht="19.5" customHeight="1">
      <c r="A5" s="47" t="s">
        <v>66</v>
      </c>
      <c r="B5" s="47" t="s">
        <v>67</v>
      </c>
      <c r="C5" s="48" t="s">
        <v>68</v>
      </c>
      <c r="D5" s="49">
        <v>20.0</v>
      </c>
      <c r="E5" s="48" t="s">
        <v>21</v>
      </c>
      <c r="F5" s="50">
        <v>361.86</v>
      </c>
      <c r="G5" s="40">
        <f t="shared" si="1"/>
        <v>7237.2</v>
      </c>
      <c r="H5" s="19">
        <f>IF(G5="-","-",IF(E5="TWD",G5,IF(E5="USD",G5*'設定'!C4,IF(E5="JPY",G5*'設定'!C5,IF(E5="EUR",G5*'設定'!C6,IF(E5="HKD",G5*'設定'!C7,G5))))))</f>
        <v>227168.4708</v>
      </c>
      <c r="I5" s="51"/>
      <c r="J5" s="19" t="str">
        <f t="shared" si="2"/>
        <v>-</v>
      </c>
      <c r="L5" s="46">
        <v>46149.84939814815</v>
      </c>
    </row>
    <row r="6" ht="19.5" customHeight="1">
      <c r="A6" s="47" t="s">
        <v>69</v>
      </c>
      <c r="B6" s="47" t="s">
        <v>70</v>
      </c>
      <c r="C6" s="48" t="s">
        <v>71</v>
      </c>
      <c r="D6" s="49">
        <v>5.0</v>
      </c>
      <c r="E6" s="48" t="s">
        <v>21</v>
      </c>
      <c r="F6" s="50">
        <v>733.83</v>
      </c>
      <c r="G6" s="40">
        <f t="shared" si="1"/>
        <v>3669.15</v>
      </c>
      <c r="H6" s="19">
        <f>IF(G6="-","-",IF(E6="TWD",G6,IF(E6="USD",G6*'設定'!C4,IF(E6="JPY",G6*'設定'!C5,IF(E6="EUR",G6*'設定'!C6,IF(E6="HKD",G6*'設定'!C7,G6))))))</f>
        <v>115170.9494</v>
      </c>
      <c r="I6" s="51"/>
      <c r="J6" s="19" t="str">
        <f t="shared" si="2"/>
        <v>-</v>
      </c>
      <c r="L6" s="46">
        <v>46149.84939814815</v>
      </c>
    </row>
    <row r="7" ht="19.5" customHeight="1">
      <c r="A7" s="47" t="s">
        <v>72</v>
      </c>
      <c r="B7" s="47" t="s">
        <v>73</v>
      </c>
      <c r="C7" s="48" t="s">
        <v>74</v>
      </c>
      <c r="D7" s="49">
        <v>5.0</v>
      </c>
      <c r="E7" s="48" t="s">
        <v>21</v>
      </c>
      <c r="F7" s="50">
        <v>674.66</v>
      </c>
      <c r="G7" s="40">
        <f t="shared" si="1"/>
        <v>3373.3</v>
      </c>
      <c r="H7" s="19">
        <f>IF(G7="-","-",IF(E7="TWD",G7,IF(E7="USD",G7*'設定'!C4,IF(E7="JPY",G7*'設定'!C5,IF(E7="EUR",G7*'設定'!C6,IF(E7="HKD",G7*'設定'!C7,G7))))))</f>
        <v>105884.5137</v>
      </c>
      <c r="I7" s="51"/>
      <c r="J7" s="19" t="str">
        <f t="shared" si="2"/>
        <v>-</v>
      </c>
      <c r="L7" s="46">
        <v>46149.84939814815</v>
      </c>
    </row>
    <row r="8" ht="19.5" customHeight="1">
      <c r="A8" s="47" t="s">
        <v>75</v>
      </c>
      <c r="B8" s="48" t="s">
        <v>76</v>
      </c>
      <c r="C8" s="48" t="s">
        <v>77</v>
      </c>
      <c r="D8" s="49"/>
      <c r="E8" s="48" t="s">
        <v>21</v>
      </c>
      <c r="F8" s="50">
        <v>116.59</v>
      </c>
      <c r="G8" s="40" t="str">
        <f t="shared" si="1"/>
        <v>-</v>
      </c>
      <c r="H8" s="19" t="str">
        <f>IF(G8="-","-",IF(E8="TWD",G8,IF(E8="USD",G8*'設定'!C4,IF(E8="JPY",G8*'設定'!C5,IF(E8="EUR",G8*'設定'!C6,IF(E8="HKD",G8*'設定'!C7,G8))))))</f>
        <v>-</v>
      </c>
      <c r="I8" s="51"/>
      <c r="J8" s="19" t="str">
        <f t="shared" si="2"/>
        <v>-</v>
      </c>
      <c r="L8" s="46">
        <v>46149.84939814815</v>
      </c>
    </row>
    <row r="9" ht="19.5" customHeight="1">
      <c r="A9" s="47" t="s">
        <v>78</v>
      </c>
      <c r="B9" s="47" t="s">
        <v>79</v>
      </c>
      <c r="C9" s="48" t="s">
        <v>80</v>
      </c>
      <c r="D9" s="49">
        <v>5.0</v>
      </c>
      <c r="E9" s="48" t="s">
        <v>21</v>
      </c>
      <c r="F9" s="50">
        <v>397.82</v>
      </c>
      <c r="G9" s="40">
        <f t="shared" si="1"/>
        <v>1989.1</v>
      </c>
      <c r="H9" s="19">
        <f>IF(G9="-","-",IF(E9="TWD",G9,IF(E9="USD",G9*'設定'!C4,IF(E9="JPY",G9*'設定'!C5,IF(E9="EUR",G9*'設定'!C6,IF(E9="HKD",G9*'設定'!C7,G9))))))</f>
        <v>62435.8599</v>
      </c>
      <c r="I9" s="51"/>
      <c r="J9" s="19" t="str">
        <f t="shared" si="2"/>
        <v>-</v>
      </c>
      <c r="L9" s="46">
        <v>46149.84939814815</v>
      </c>
    </row>
    <row r="10" ht="19.5" customHeight="1">
      <c r="A10" s="47" t="s">
        <v>78</v>
      </c>
      <c r="B10" s="48" t="s">
        <v>81</v>
      </c>
      <c r="C10" s="48" t="s">
        <v>82</v>
      </c>
      <c r="D10" s="49">
        <v>5.0</v>
      </c>
      <c r="E10" s="48" t="s">
        <v>21</v>
      </c>
      <c r="F10" s="50">
        <v>612.88</v>
      </c>
      <c r="G10" s="40">
        <f t="shared" si="1"/>
        <v>3064.4</v>
      </c>
      <c r="H10" s="19">
        <f>IF(G10="-","-",IF(E10="TWD",G10,IF(E10="USD",G10*'設定'!C4,IF(E10="JPY",G10*'設定'!C5,IF(E10="EUR",G10*'設定'!C6,IF(E10="HKD",G10*'設定'!C7,G10))))))</f>
        <v>96188.4516</v>
      </c>
      <c r="I10" s="51"/>
      <c r="J10" s="19" t="str">
        <f t="shared" si="2"/>
        <v>-</v>
      </c>
      <c r="L10" s="46">
        <v>46149.84939814815</v>
      </c>
    </row>
    <row r="11" ht="19.5" customHeight="1">
      <c r="A11" s="47" t="s">
        <v>78</v>
      </c>
      <c r="B11" s="47" t="s">
        <v>83</v>
      </c>
      <c r="C11" s="48" t="s">
        <v>84</v>
      </c>
      <c r="D11" s="49">
        <v>5.0</v>
      </c>
      <c r="E11" s="48" t="s">
        <v>21</v>
      </c>
      <c r="F11" s="50">
        <v>413.87</v>
      </c>
      <c r="G11" s="40">
        <f t="shared" si="1"/>
        <v>2069.35</v>
      </c>
      <c r="H11" s="19">
        <f>IF(G11="-","-",IF(E11="TWD",G11,IF(E11="USD",G11*'設定'!C4,IF(E11="JPY",G11*'設定'!C5,IF(E11="EUR",G11*'設定'!C6,IF(E11="HKD",G11*'設定'!C7,G11))))))</f>
        <v>64954.82715</v>
      </c>
      <c r="I11" s="51"/>
      <c r="J11" s="19" t="str">
        <f t="shared" si="2"/>
        <v>-</v>
      </c>
      <c r="L11" s="46">
        <v>46149.84939814815</v>
      </c>
    </row>
    <row r="12" ht="19.5" customHeight="1">
      <c r="A12" s="47" t="s">
        <v>78</v>
      </c>
      <c r="B12" s="47" t="s">
        <v>85</v>
      </c>
      <c r="C12" s="48" t="s">
        <v>86</v>
      </c>
      <c r="D12" s="49">
        <v>5.0</v>
      </c>
      <c r="E12" s="48" t="s">
        <v>21</v>
      </c>
      <c r="F12" s="50">
        <v>421.47</v>
      </c>
      <c r="G12" s="40">
        <f t="shared" si="1"/>
        <v>2107.35</v>
      </c>
      <c r="H12" s="19">
        <f>IF(G12="-","-",IF(E12="TWD",G12,IF(E12="USD",G12*'設定'!C4,IF(E12="JPY",G12*'設定'!C5,IF(E12="EUR",G12*'設定'!C6,IF(E12="HKD",G12*'設定'!C7,G12))))))</f>
        <v>66147.60915</v>
      </c>
      <c r="I12" s="51"/>
      <c r="J12" s="19" t="str">
        <f t="shared" si="2"/>
        <v>-</v>
      </c>
      <c r="L12" s="46">
        <v>46149.84939814815</v>
      </c>
    </row>
    <row r="13" ht="19.5" customHeight="1">
      <c r="A13" s="47" t="s">
        <v>78</v>
      </c>
      <c r="B13" s="47" t="s">
        <v>87</v>
      </c>
      <c r="C13" s="48" t="s">
        <v>88</v>
      </c>
      <c r="D13" s="49">
        <v>5.0</v>
      </c>
      <c r="E13" s="48" t="s">
        <v>21</v>
      </c>
      <c r="F13" s="50">
        <v>207.67</v>
      </c>
      <c r="G13" s="40">
        <f t="shared" si="1"/>
        <v>1038.35</v>
      </c>
      <c r="H13" s="19">
        <f>IF(G13="-","-",IF(E13="TWD",G13,IF(E13="USD",G13*'設定'!C4,IF(E13="JPY",G13*'設定'!C5,IF(E13="EUR",G13*'設定'!C6,IF(E13="HKD",G13*'設定'!C7,G13))))))</f>
        <v>32592.76815</v>
      </c>
      <c r="I13" s="51"/>
      <c r="J13" s="19" t="str">
        <f t="shared" si="2"/>
        <v>-</v>
      </c>
      <c r="L13" s="46">
        <v>46149.84939814815</v>
      </c>
    </row>
    <row r="14" ht="19.5" customHeight="1">
      <c r="A14" s="47" t="s">
        <v>78</v>
      </c>
      <c r="B14" s="47" t="s">
        <v>89</v>
      </c>
      <c r="C14" s="48" t="s">
        <v>90</v>
      </c>
      <c r="D14" s="49">
        <v>5.0</v>
      </c>
      <c r="E14" s="48" t="s">
        <v>21</v>
      </c>
      <c r="F14" s="50">
        <v>469.83</v>
      </c>
      <c r="G14" s="40">
        <f t="shared" si="1"/>
        <v>2349.15</v>
      </c>
      <c r="H14" s="19">
        <f>IF(G14="-","-",IF(E14="TWD",G14,IF(E14="USD",G14*'設定'!C4,IF(E14="JPY",G14*'設定'!C5,IF(E14="EUR",G14*'設定'!C6,IF(E14="HKD",G14*'設定'!C7,G14))))))</f>
        <v>73737.46935</v>
      </c>
      <c r="I14" s="51"/>
      <c r="J14" s="19" t="str">
        <f t="shared" si="2"/>
        <v>-</v>
      </c>
      <c r="L14" s="46">
        <v>46149.84939814815</v>
      </c>
    </row>
    <row r="15" ht="19.5" customHeight="1">
      <c r="A15" s="47" t="s">
        <v>78</v>
      </c>
      <c r="B15" s="47" t="s">
        <v>91</v>
      </c>
      <c r="C15" s="48" t="s">
        <v>92</v>
      </c>
      <c r="D15" s="49">
        <v>5.0</v>
      </c>
      <c r="E15" s="48" t="s">
        <v>21</v>
      </c>
      <c r="F15" s="50">
        <v>287.51</v>
      </c>
      <c r="G15" s="40">
        <f t="shared" si="1"/>
        <v>1437.55</v>
      </c>
      <c r="H15" s="19">
        <f>IF(G15="-","-",IF(E15="TWD",G15,IF(E15="USD",G15*'設定'!C4,IF(E15="JPY",G15*'設定'!C5,IF(E15="EUR",G15*'設定'!C6,IF(E15="HKD",G15*'設定'!C7,G15))))))</f>
        <v>45123.25695</v>
      </c>
      <c r="I15" s="51"/>
      <c r="J15" s="19" t="str">
        <f t="shared" si="2"/>
        <v>-</v>
      </c>
      <c r="L15" s="46">
        <v>46149.84939814815</v>
      </c>
    </row>
    <row r="16" ht="19.5" customHeight="1">
      <c r="A16" s="47" t="s">
        <v>93</v>
      </c>
      <c r="B16" s="47" t="s">
        <v>94</v>
      </c>
      <c r="C16" s="48" t="s">
        <v>95</v>
      </c>
      <c r="D16" s="49">
        <v>5.0</v>
      </c>
      <c r="E16" s="48" t="s">
        <v>40</v>
      </c>
      <c r="F16" s="50">
        <v>344.0</v>
      </c>
      <c r="G16" s="40">
        <f t="shared" si="1"/>
        <v>1720</v>
      </c>
      <c r="H16" s="19">
        <f>IF(G16="-","-",IF(E16="TWD",G16,IF(E16="USD",G16*'設定'!C4,IF(E16="JPY",G16*'設定'!C5,IF(E16="EUR",G16*'設定'!C6,IF(E16="HKD",G16*'設定'!C7,G16))))))</f>
        <v>1720</v>
      </c>
      <c r="I16" s="51"/>
      <c r="J16" s="19" t="str">
        <f t="shared" si="2"/>
        <v>-</v>
      </c>
      <c r="L16" s="46">
        <v>46149.84939814815</v>
      </c>
    </row>
    <row r="17" ht="19.5" customHeight="1">
      <c r="A17" s="47" t="s">
        <v>93</v>
      </c>
      <c r="B17" s="47" t="s">
        <v>96</v>
      </c>
      <c r="C17" s="48" t="s">
        <v>97</v>
      </c>
      <c r="D17" s="49">
        <v>5.0</v>
      </c>
      <c r="E17" s="48" t="s">
        <v>40</v>
      </c>
      <c r="F17" s="50">
        <v>253.5</v>
      </c>
      <c r="G17" s="40">
        <f t="shared" si="1"/>
        <v>1267.5</v>
      </c>
      <c r="H17" s="19">
        <f>IF(G17="-","-",IF(E17="TWD",G17,IF(E17="USD",G17*'設定'!C4,IF(E17="JPY",G17*'設定'!C5,IF(E17="EUR",G17*'設定'!C6,IF(E17="HKD",G17*'設定'!C7,G17))))))</f>
        <v>1267.5</v>
      </c>
      <c r="I17" s="51"/>
      <c r="J17" s="19" t="str">
        <f t="shared" si="2"/>
        <v>-</v>
      </c>
      <c r="L17" s="46">
        <v>46149.84939814815</v>
      </c>
    </row>
    <row r="18" ht="19.5" customHeight="1">
      <c r="A18" s="47" t="s">
        <v>93</v>
      </c>
      <c r="B18" s="47" t="s">
        <v>98</v>
      </c>
      <c r="C18" s="48" t="s">
        <v>99</v>
      </c>
      <c r="D18" s="49">
        <v>5.0</v>
      </c>
      <c r="E18" s="48" t="s">
        <v>40</v>
      </c>
      <c r="F18" s="50">
        <v>3420.0</v>
      </c>
      <c r="G18" s="40">
        <f t="shared" si="1"/>
        <v>17100</v>
      </c>
      <c r="H18" s="19">
        <f>IF(G18="-","-",IF(E18="TWD",G18,IF(E18="USD",G18*'設定'!C4,IF(E18="JPY",G18*'設定'!C5,IF(E18="EUR",G18*'設定'!C6,IF(E18="HKD",G18*'設定'!C7,G18))))))</f>
        <v>17100</v>
      </c>
      <c r="I18" s="51"/>
      <c r="J18" s="19" t="str">
        <f t="shared" si="2"/>
        <v>-</v>
      </c>
      <c r="L18" s="46">
        <v>46149.84939814815</v>
      </c>
    </row>
    <row r="19" ht="19.5" customHeight="1">
      <c r="A19" s="47" t="s">
        <v>93</v>
      </c>
      <c r="B19" s="47" t="s">
        <v>100</v>
      </c>
      <c r="C19" s="48" t="s">
        <v>101</v>
      </c>
      <c r="D19" s="49">
        <v>5.0</v>
      </c>
      <c r="E19" s="48" t="s">
        <v>40</v>
      </c>
      <c r="F19" s="50">
        <v>2310.0</v>
      </c>
      <c r="G19" s="40">
        <f t="shared" si="1"/>
        <v>11550</v>
      </c>
      <c r="H19" s="19">
        <f>IF(G19="-","-",IF(E19="TWD",G19,IF(E19="USD",G19*'設定'!C4,IF(E19="JPY",G19*'設定'!C5,IF(E19="EUR",G19*'設定'!C6,IF(E19="HKD",G19*'設定'!C7,G19))))))</f>
        <v>11550</v>
      </c>
      <c r="I19" s="51"/>
      <c r="J19" s="19" t="str">
        <f t="shared" si="2"/>
        <v>-</v>
      </c>
      <c r="K19" s="52" t="s">
        <v>102</v>
      </c>
      <c r="L19" s="46">
        <v>46149.84939814815</v>
      </c>
    </row>
    <row r="20" ht="19.5" customHeight="1">
      <c r="A20" s="47" t="s">
        <v>103</v>
      </c>
      <c r="B20" s="47" t="s">
        <v>104</v>
      </c>
      <c r="C20" s="48" t="s">
        <v>105</v>
      </c>
      <c r="D20" s="49">
        <v>5.0</v>
      </c>
      <c r="E20" s="48" t="s">
        <v>40</v>
      </c>
      <c r="F20" s="50">
        <v>97.7</v>
      </c>
      <c r="G20" s="40">
        <f t="shared" si="1"/>
        <v>488.5</v>
      </c>
      <c r="H20" s="19">
        <f>IF(G20="-","-",IF(E20="TWD",G20,IF(E20="USD",G20*'設定'!C4,IF(E20="JPY",G20*'設定'!C5,IF(E20="EUR",G20*'設定'!C6,IF(E20="HKD",G20*'設定'!C7,G20))))))</f>
        <v>488.5</v>
      </c>
      <c r="I20" s="51"/>
      <c r="J20" s="19" t="str">
        <f t="shared" si="2"/>
        <v>-</v>
      </c>
      <c r="L20" s="46">
        <v>46149.84939814815</v>
      </c>
    </row>
    <row r="21" ht="19.5" customHeight="1">
      <c r="A21" s="47" t="s">
        <v>106</v>
      </c>
      <c r="B21" s="47" t="s">
        <v>107</v>
      </c>
      <c r="C21" s="48" t="s">
        <v>108</v>
      </c>
      <c r="D21" s="49">
        <v>5.0</v>
      </c>
      <c r="E21" s="48" t="s">
        <v>40</v>
      </c>
      <c r="F21" s="50">
        <v>27.04</v>
      </c>
      <c r="G21" s="40">
        <f t="shared" si="1"/>
        <v>135.2</v>
      </c>
      <c r="H21" s="19">
        <f>IF(G21="-","-",IF(E21="TWD",G21,IF(E21="USD",G21*'設定'!C4,IF(E21="JPY",G21*'設定'!C5,IF(E21="EUR",G21*'設定'!C6,IF(E21="HKD",G21*'設定'!C7,G21))))))</f>
        <v>135.2</v>
      </c>
      <c r="I21" s="51"/>
      <c r="J21" s="19" t="str">
        <f t="shared" si="2"/>
        <v>-</v>
      </c>
      <c r="L21" s="53">
        <v>46132.99861111111</v>
      </c>
    </row>
    <row r="22" ht="19.5" customHeight="1">
      <c r="A22" s="47" t="s">
        <v>109</v>
      </c>
      <c r="B22" s="47" t="s">
        <v>110</v>
      </c>
      <c r="C22" s="48" t="s">
        <v>111</v>
      </c>
      <c r="D22" s="49">
        <v>5.0</v>
      </c>
      <c r="E22" s="48" t="s">
        <v>40</v>
      </c>
      <c r="F22" s="50">
        <v>33.06</v>
      </c>
      <c r="G22" s="40">
        <f t="shared" si="1"/>
        <v>165.3</v>
      </c>
      <c r="H22" s="19">
        <f>IF(G22="-","-",IF(E22="TWD",G22,IF(E22="USD",G22*'設定'!C4,IF(E22="JPY",G22*'設定'!C5,IF(E22="EUR",G22*'設定'!C6,IF(E22="HKD",G22*'設定'!C7,G22))))))</f>
        <v>165.3</v>
      </c>
      <c r="I22" s="51"/>
      <c r="J22" s="19" t="str">
        <f t="shared" si="2"/>
        <v>-</v>
      </c>
      <c r="L22" s="46">
        <v>46149.84939814815</v>
      </c>
    </row>
    <row r="23" ht="19.5" customHeight="1">
      <c r="A23" s="47" t="s">
        <v>112</v>
      </c>
      <c r="B23" s="47" t="s">
        <v>113</v>
      </c>
      <c r="C23" s="48" t="s">
        <v>114</v>
      </c>
      <c r="D23" s="49">
        <v>5.0</v>
      </c>
      <c r="E23" s="48" t="s">
        <v>40</v>
      </c>
      <c r="F23" s="50">
        <v>226.8</v>
      </c>
      <c r="G23" s="40">
        <f t="shared" si="1"/>
        <v>1134</v>
      </c>
      <c r="H23" s="19">
        <f>IF(G23="-","-",IF(E23="TWD",G23,IF(E23="USD",G23*'設定'!C4,IF(E23="JPY",G23*'設定'!C5,IF(E23="EUR",G23*'設定'!C6,IF(E23="HKD",G23*'設定'!C7,G23))))))</f>
        <v>1134</v>
      </c>
      <c r="I23" s="51"/>
      <c r="J23" s="19" t="str">
        <f t="shared" si="2"/>
        <v>-</v>
      </c>
      <c r="L23" s="46">
        <v>46149.84939814815</v>
      </c>
    </row>
    <row r="24" ht="19.5" customHeight="1">
      <c r="A24" s="47"/>
      <c r="B24" s="47"/>
      <c r="C24" s="48"/>
      <c r="D24" s="49"/>
      <c r="E24" s="48"/>
      <c r="F24" s="50"/>
      <c r="G24" s="40"/>
      <c r="H24" s="19"/>
      <c r="I24" s="51"/>
      <c r="J24" s="19"/>
      <c r="L24" s="46"/>
    </row>
    <row r="25" ht="19.5" customHeight="1">
      <c r="A25" s="47"/>
      <c r="B25" s="48"/>
      <c r="C25" s="48"/>
      <c r="D25" s="54"/>
      <c r="E25" s="48"/>
      <c r="F25" s="55"/>
      <c r="G25" s="40"/>
      <c r="H25" s="19"/>
      <c r="I25" s="51"/>
      <c r="J25" s="19"/>
    </row>
    <row r="27" ht="25.5" customHeight="1"/>
    <row r="28" ht="18.0" customHeight="1"/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ht="15.75" customHeight="1">
      <c r="A33" s="43" t="s">
        <v>115</v>
      </c>
      <c r="B33" s="2"/>
      <c r="C33" s="2"/>
      <c r="D33" s="2"/>
      <c r="E33" s="2"/>
      <c r="F33" s="2"/>
      <c r="G33" s="3"/>
      <c r="H33" s="44">
        <f>SUMIF(H3:H25,"&lt;&gt;-")</f>
        <v>1431961.167</v>
      </c>
      <c r="I33" s="44">
        <f>SUMIF(I3:I25,"&lt;&gt;0")</f>
        <v>0</v>
      </c>
      <c r="J33" s="44">
        <f>SUMIF(J3:J25,"&lt;&gt;-")</f>
        <v>0</v>
      </c>
      <c r="K33" s="44"/>
      <c r="L33" s="44"/>
    </row>
    <row r="34" ht="15.75" customHeight="1">
      <c r="A34" s="20" t="s">
        <v>116</v>
      </c>
      <c r="B34" s="5"/>
      <c r="C34" s="5"/>
      <c r="D34" s="5"/>
      <c r="E34" s="5"/>
      <c r="F34" s="5"/>
      <c r="G34" s="5"/>
      <c r="H34" s="5"/>
      <c r="I34" s="5"/>
      <c r="J34" s="6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</row>
  </sheetData>
  <mergeCells count="3">
    <mergeCell ref="A1:L1"/>
    <mergeCell ref="A33:G33"/>
    <mergeCell ref="A34:J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8.0"/>
    <col customWidth="1" min="4" max="5" width="16.0"/>
    <col customWidth="1" min="6" max="6" width="13.71"/>
    <col customWidth="1" min="7" max="26" width="8.71"/>
  </cols>
  <sheetData>
    <row r="1" ht="30.0" customHeight="1">
      <c r="A1" s="21" t="s">
        <v>117</v>
      </c>
      <c r="B1" s="2"/>
      <c r="C1" s="2"/>
      <c r="D1" s="2"/>
      <c r="E1" s="2"/>
      <c r="F1" s="3"/>
    </row>
    <row r="2" ht="21.75" customHeight="1">
      <c r="A2" s="22" t="s">
        <v>53</v>
      </c>
      <c r="B2" s="22" t="s">
        <v>118</v>
      </c>
      <c r="C2" s="22" t="s">
        <v>32</v>
      </c>
      <c r="D2" s="22" t="s">
        <v>33</v>
      </c>
      <c r="E2" s="22" t="s">
        <v>35</v>
      </c>
      <c r="F2" s="31" t="s">
        <v>36</v>
      </c>
    </row>
    <row r="3" ht="19.5" customHeight="1">
      <c r="A3" s="47" t="s">
        <v>119</v>
      </c>
      <c r="B3" s="47" t="s">
        <v>120</v>
      </c>
      <c r="C3" s="48" t="s">
        <v>40</v>
      </c>
      <c r="D3" s="56">
        <v>500000.0</v>
      </c>
      <c r="E3" s="19">
        <f>IF(D3="","-",IF(C3="TWD",D3,IF(C3="USD",D3*'設定'!C4,IF(C3="JPY",D3*'設定'!C5,IF(C3="EUR",D3*'設定'!C6,IF(C3="HKD",D3*'設定'!C7,D3))))))</f>
        <v>500000</v>
      </c>
    </row>
    <row r="4" ht="19.5" customHeight="1">
      <c r="A4" s="48"/>
      <c r="B4" s="48"/>
      <c r="C4" s="48" t="s">
        <v>40</v>
      </c>
      <c r="D4" s="51"/>
      <c r="E4" s="19" t="str">
        <f>IF(D4="","-",IF(C4="TWD",D4,IF(C4="USD",D4*'設定'!C4,IF(C4="JPY",D4*'設定'!C5,IF(C4="EUR",D4*'設定'!C6,IF(C4="HKD",D4*'設定'!C7,D4))))))</f>
        <v>-</v>
      </c>
    </row>
    <row r="5" ht="19.5" customHeight="1">
      <c r="A5" s="48"/>
      <c r="B5" s="48"/>
      <c r="C5" s="48" t="s">
        <v>40</v>
      </c>
      <c r="D5" s="51"/>
      <c r="E5" s="19" t="str">
        <f>IF(D5="","-",IF(C5="TWD",D5,IF(C5="USD",D5*'設定'!C4,IF(C5="JPY",D5*'設定'!C5,IF(C5="EUR",D5*'設定'!C6,IF(C5="HKD",D5*'設定'!C7,D5))))))</f>
        <v>-</v>
      </c>
    </row>
    <row r="6" ht="19.5" customHeight="1">
      <c r="A6" s="48"/>
      <c r="B6" s="48"/>
      <c r="C6" s="48" t="s">
        <v>21</v>
      </c>
      <c r="D6" s="51"/>
      <c r="E6" s="19" t="str">
        <f>IF(D6="","-",IF(C6="TWD",D6,IF(C6="USD",D6*'設定'!C4,IF(C6="JPY",D6*'設定'!C5,IF(C6="EUR",D6*'設定'!C6,IF(C6="HKD",D6*'設定'!C7,D6))))))</f>
        <v>-</v>
      </c>
    </row>
    <row r="7" ht="19.5" customHeight="1">
      <c r="A7" s="48"/>
      <c r="B7" s="48"/>
      <c r="C7" s="48" t="s">
        <v>40</v>
      </c>
      <c r="D7" s="51"/>
      <c r="E7" s="19" t="str">
        <f>IF(D7="","-",IF(C7="TWD",D7,IF(C7="USD",D7*'設定'!C4,IF(C7="JPY",D7*'設定'!C5,IF(C7="EUR",D7*'設定'!C6,IF(C7="HKD",D7*'設定'!C7,D7))))))</f>
        <v>-</v>
      </c>
    </row>
    <row r="8" ht="25.5" customHeight="1">
      <c r="A8" s="43" t="s">
        <v>121</v>
      </c>
      <c r="B8" s="2"/>
      <c r="C8" s="2"/>
      <c r="D8" s="3"/>
      <c r="E8" s="44">
        <f>SUMIF(E3:E7,"&lt;&gt;-")</f>
        <v>500000</v>
      </c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</sheetData>
  <mergeCells count="2">
    <mergeCell ref="A1:F1"/>
    <mergeCell ref="A8:D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8.0"/>
    <col customWidth="1" min="4" max="5" width="16.0"/>
    <col customWidth="1" min="6" max="6" width="13.71"/>
    <col customWidth="1" min="7" max="26" width="8.71"/>
  </cols>
  <sheetData>
    <row r="1" ht="30.0" customHeight="1">
      <c r="A1" s="57" t="s">
        <v>122</v>
      </c>
      <c r="B1" s="2"/>
      <c r="C1" s="2"/>
      <c r="D1" s="2"/>
      <c r="E1" s="2"/>
      <c r="F1" s="3"/>
    </row>
    <row r="2" ht="21.75" customHeight="1">
      <c r="A2" s="58" t="s">
        <v>123</v>
      </c>
      <c r="B2" s="58" t="s">
        <v>118</v>
      </c>
      <c r="C2" s="58" t="s">
        <v>32</v>
      </c>
      <c r="D2" s="58" t="s">
        <v>33</v>
      </c>
      <c r="E2" s="58" t="s">
        <v>35</v>
      </c>
      <c r="F2" s="59" t="s">
        <v>36</v>
      </c>
    </row>
    <row r="3" ht="19.5" customHeight="1">
      <c r="A3" s="47" t="s">
        <v>124</v>
      </c>
      <c r="B3" s="47" t="s">
        <v>125</v>
      </c>
      <c r="C3" s="48" t="s">
        <v>40</v>
      </c>
      <c r="D3" s="56">
        <v>500000.0</v>
      </c>
      <c r="E3" s="19">
        <f>IF(D3="","-",IF(C3="TWD",D3,IF(C3="USD",D3*'設定'!C4,IF(C3="JPY",D3*'設定'!C5,IF(C3="EUR",D3*'設定'!C6,IF(C3="HKD",D3*'設定'!C7,D3))))))</f>
        <v>500000</v>
      </c>
    </row>
    <row r="4" ht="19.5" customHeight="1">
      <c r="A4" s="60" t="s">
        <v>126</v>
      </c>
      <c r="B4" s="47" t="s">
        <v>127</v>
      </c>
      <c r="C4" s="48" t="s">
        <v>40</v>
      </c>
      <c r="D4" s="56">
        <v>500000.0</v>
      </c>
      <c r="E4" s="19">
        <f>IF(D4="","-",IF(C4="TWD",D4,IF(C4="USD",D4*'設定'!C4,IF(C4="JPY",D4*'設定'!C5,IF(C4="EUR",D4*'設定'!C6,IF(C4="HKD",D4*'設定'!C7,D4))))))</f>
        <v>500000</v>
      </c>
    </row>
    <row r="5" ht="19.5" customHeight="1">
      <c r="A5" s="60" t="s">
        <v>128</v>
      </c>
      <c r="B5" s="47" t="s">
        <v>125</v>
      </c>
      <c r="C5" s="48" t="s">
        <v>40</v>
      </c>
      <c r="D5" s="56">
        <v>500000.0</v>
      </c>
      <c r="E5" s="19">
        <f>IF(D5="","-",IF(C5="TWD",D5,IF(C5="USD",D5*'設定'!C4,IF(C5="JPY",D5*'設定'!C5,IF(C5="EUR",D5*'設定'!C6,IF(C5="HKD",D5*'設定'!C7,D5))))))</f>
        <v>500000</v>
      </c>
    </row>
    <row r="6" ht="19.5" customHeight="1">
      <c r="A6" s="60" t="s">
        <v>129</v>
      </c>
      <c r="B6" s="47" t="s">
        <v>127</v>
      </c>
      <c r="C6" s="48" t="s">
        <v>40</v>
      </c>
      <c r="D6" s="56">
        <v>500000.0</v>
      </c>
      <c r="E6" s="19">
        <f>IF(D6="","-",IF(C6="TWD",D6,IF(C6="USD",D6*'設定'!C4,IF(C6="JPY",D6*'設定'!C5,IF(C6="EUR",D6*'設定'!C6,IF(C6="HKD",D6*'設定'!C7,D6))))))</f>
        <v>500000</v>
      </c>
    </row>
    <row r="7" ht="19.5" customHeight="1">
      <c r="A7" s="60" t="s">
        <v>130</v>
      </c>
      <c r="B7" s="47" t="s">
        <v>127</v>
      </c>
      <c r="C7" s="48" t="s">
        <v>40</v>
      </c>
      <c r="D7" s="56">
        <v>500000.0</v>
      </c>
      <c r="E7" s="19">
        <f>IF(D7="","-",IF(C7="TWD",D7,IF(C7="USD",D7*'設定'!C4,IF(C7="JPY",D7*'設定'!C5,IF(C7="EUR",D7*'設定'!C6,IF(C7="HKD",D7*'設定'!C7,D7))))))</f>
        <v>500000</v>
      </c>
    </row>
    <row r="8" ht="19.5" customHeight="1">
      <c r="A8" s="47" t="s">
        <v>131</v>
      </c>
      <c r="B8" s="47" t="s">
        <v>127</v>
      </c>
      <c r="C8" s="48" t="s">
        <v>40</v>
      </c>
      <c r="D8" s="56">
        <v>500000.0</v>
      </c>
      <c r="E8" s="19">
        <f>IF(D8="","-",IF(C8="TWD",D8,IF(C8="USD",D8*'設定'!C4,IF(C8="JPY",D8*'設定'!C5,IF(C8="EUR",D8*'設定'!C6,IF(C8="HKD",D8*'設定'!C7,D8))))))</f>
        <v>500000</v>
      </c>
    </row>
    <row r="9" ht="19.5" customHeight="1">
      <c r="A9" s="48"/>
      <c r="B9" s="48"/>
      <c r="C9" s="48" t="s">
        <v>40</v>
      </c>
      <c r="D9" s="51"/>
      <c r="E9" s="19" t="str">
        <f>IF(D9="","-",IF(C9="TWD",D9,IF(C9="USD",D9*'設定'!C4,IF(C9="JPY",D9*'設定'!C5,IF(C9="EUR",D9*'設定'!C6,IF(C9="HKD",D9*'設定'!C7,D9))))))</f>
        <v>-</v>
      </c>
    </row>
    <row r="10" ht="19.5" customHeight="1">
      <c r="A10" s="48"/>
      <c r="B10" s="48"/>
      <c r="C10" s="48" t="s">
        <v>40</v>
      </c>
      <c r="D10" s="51"/>
      <c r="E10" s="19" t="str">
        <f>IF(D10="","-",IF(C10="TWD",D10,IF(C10="USD",D10*'設定'!C4,IF(C10="JPY",D10*'設定'!C5,IF(C10="EUR",D10*'設定'!C6,IF(C10="HKD",D10*'設定'!C7,D10))))))</f>
        <v>-</v>
      </c>
    </row>
    <row r="11" ht="25.5" customHeight="1">
      <c r="A11" s="61" t="s">
        <v>132</v>
      </c>
      <c r="B11" s="2"/>
      <c r="C11" s="2"/>
      <c r="D11" s="3"/>
      <c r="E11" s="62">
        <f>SUMIF(E3:E10,"&lt;&gt;-")</f>
        <v>3000000</v>
      </c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</sheetData>
  <mergeCells count="2">
    <mergeCell ref="A1:F1"/>
    <mergeCell ref="A11:D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8.0"/>
    <col customWidth="1" min="4" max="5" width="16.0"/>
    <col customWidth="1" min="6" max="6" width="13.71"/>
    <col customWidth="1" min="7" max="26" width="8.71"/>
  </cols>
  <sheetData>
    <row r="1" ht="30.0" customHeight="1">
      <c r="A1" s="63" t="s">
        <v>133</v>
      </c>
      <c r="B1" s="2"/>
      <c r="C1" s="2"/>
      <c r="D1" s="2"/>
      <c r="E1" s="2"/>
      <c r="F1" s="3"/>
    </row>
    <row r="2" ht="21.75" customHeight="1">
      <c r="A2" s="64" t="s">
        <v>123</v>
      </c>
      <c r="B2" s="64" t="s">
        <v>118</v>
      </c>
      <c r="C2" s="64" t="s">
        <v>32</v>
      </c>
      <c r="D2" s="64" t="s">
        <v>33</v>
      </c>
      <c r="E2" s="64" t="s">
        <v>35</v>
      </c>
      <c r="F2" s="65" t="s">
        <v>36</v>
      </c>
    </row>
    <row r="3" ht="19.5" customHeight="1">
      <c r="A3" s="60" t="s">
        <v>134</v>
      </c>
      <c r="B3" s="47" t="s">
        <v>127</v>
      </c>
      <c r="C3" s="48" t="s">
        <v>40</v>
      </c>
      <c r="D3" s="56">
        <v>5000000.0</v>
      </c>
      <c r="E3" s="19">
        <f>IF(D3="","-",IF(C3="TWD",D3,IF(C3="USD",D3*'設定'!C4,IF(C3="JPY",D3*'設定'!C5,IF(C3="EUR",D3*'設定'!C6,IF(C3="HKD",D3*'設定'!C7,D3))))))</f>
        <v>5000000</v>
      </c>
    </row>
    <row r="4" ht="19.5" customHeight="1">
      <c r="A4" s="48"/>
      <c r="B4" s="48"/>
      <c r="C4" s="48" t="s">
        <v>40</v>
      </c>
      <c r="D4" s="51"/>
      <c r="E4" s="19" t="str">
        <f>IF(D4="","-",IF(C4="TWD",D4,IF(C4="USD",D4*'設定'!C4,IF(C4="JPY",D4*'設定'!C5,IF(C4="EUR",D4*'設定'!C6,IF(C4="HKD",D4*'設定'!C7,D4))))))</f>
        <v>-</v>
      </c>
    </row>
    <row r="5" ht="19.5" customHeight="1">
      <c r="A5" s="48"/>
      <c r="B5" s="48"/>
      <c r="C5" s="48" t="s">
        <v>21</v>
      </c>
      <c r="D5" s="51"/>
      <c r="E5" s="19" t="str">
        <f>IF(D5="","-",IF(C5="TWD",D5,IF(C5="USD",D5*'設定'!C4,IF(C5="JPY",D5*'設定'!C5,IF(C5="EUR",D5*'設定'!C6,IF(C5="HKD",D5*'設定'!C7,D5))))))</f>
        <v>-</v>
      </c>
    </row>
    <row r="6" ht="19.5" customHeight="1">
      <c r="A6" s="48"/>
      <c r="B6" s="48"/>
      <c r="C6" s="48" t="s">
        <v>40</v>
      </c>
      <c r="D6" s="51"/>
      <c r="E6" s="19" t="str">
        <f>IF(D6="","-",IF(C6="TWD",D6,IF(C6="USD",D6*'設定'!C4,IF(C6="JPY",D6*'設定'!C5,IF(C6="EUR",D6*'設定'!C6,IF(C6="HKD",D6*'設定'!C7,D6))))))</f>
        <v>-</v>
      </c>
    </row>
    <row r="7" ht="19.5" customHeight="1">
      <c r="A7" s="48"/>
      <c r="B7" s="48"/>
      <c r="C7" s="48" t="s">
        <v>40</v>
      </c>
      <c r="D7" s="51"/>
      <c r="E7" s="19" t="str">
        <f>IF(D7="","-",IF(C7="TWD",D7,IF(C7="USD",D7*'設定'!C4,IF(C7="JPY",D7*'設定'!C5,IF(C7="EUR",D7*'設定'!C6,IF(C7="HKD",D7*'設定'!C7,D7))))))</f>
        <v>-</v>
      </c>
      <c r="F7" s="51"/>
    </row>
    <row r="8" ht="25.5" customHeight="1">
      <c r="A8" s="66" t="s">
        <v>135</v>
      </c>
      <c r="B8" s="2"/>
      <c r="C8" s="2"/>
      <c r="D8" s="3"/>
      <c r="E8" s="67">
        <f>SUMIF(E3:E7,"&lt;&gt;-")</f>
        <v>5000000</v>
      </c>
      <c r="F8" s="51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</sheetData>
  <mergeCells count="2">
    <mergeCell ref="A1:F1"/>
    <mergeCell ref="A8:D8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6.0"/>
    <col customWidth="1" min="4" max="8" width="14.0"/>
    <col customWidth="1" min="9" max="26" width="8.71"/>
  </cols>
  <sheetData>
    <row r="1" ht="30.0" customHeight="1">
      <c r="A1" s="21" t="s">
        <v>136</v>
      </c>
      <c r="B1" s="2"/>
      <c r="C1" s="2"/>
      <c r="D1" s="2"/>
      <c r="E1" s="2"/>
      <c r="F1" s="2"/>
      <c r="G1" s="2"/>
      <c r="H1" s="3"/>
    </row>
    <row r="2" ht="21.75" customHeight="1">
      <c r="A2" s="22" t="s">
        <v>137</v>
      </c>
      <c r="B2" s="22" t="s">
        <v>138</v>
      </c>
      <c r="C2" s="22" t="s">
        <v>139</v>
      </c>
      <c r="D2" s="22" t="s">
        <v>140</v>
      </c>
      <c r="E2" s="22" t="s">
        <v>141</v>
      </c>
      <c r="F2" s="22" t="s">
        <v>12</v>
      </c>
      <c r="G2" s="22" t="s">
        <v>142</v>
      </c>
      <c r="H2" s="22" t="s">
        <v>13</v>
      </c>
    </row>
    <row r="3" ht="18.0" customHeight="1">
      <c r="A3" s="68"/>
      <c r="B3" s="51"/>
      <c r="C3" s="51"/>
      <c r="D3" s="51"/>
      <c r="E3" s="51"/>
      <c r="F3" s="51"/>
      <c r="G3" s="51"/>
      <c r="H3" s="51"/>
    </row>
    <row r="4" ht="18.0" customHeight="1">
      <c r="A4" s="68"/>
      <c r="B4" s="51"/>
      <c r="C4" s="51"/>
      <c r="D4" s="51"/>
      <c r="E4" s="51"/>
      <c r="F4" s="51"/>
      <c r="G4" s="51"/>
      <c r="H4" s="51"/>
    </row>
    <row r="5" ht="18.0" customHeight="1">
      <c r="A5" s="68"/>
      <c r="B5" s="51"/>
      <c r="C5" s="51"/>
      <c r="D5" s="51"/>
      <c r="E5" s="51"/>
      <c r="F5" s="51"/>
      <c r="G5" s="51"/>
      <c r="H5" s="51"/>
    </row>
    <row r="6" ht="18.0" customHeight="1">
      <c r="A6" s="68"/>
      <c r="B6" s="51"/>
      <c r="C6" s="51"/>
      <c r="D6" s="51"/>
      <c r="E6" s="51"/>
      <c r="F6" s="51"/>
      <c r="G6" s="51"/>
      <c r="H6" s="51"/>
    </row>
    <row r="7" ht="18.0" customHeight="1">
      <c r="A7" s="68"/>
      <c r="B7" s="51"/>
      <c r="C7" s="51"/>
      <c r="D7" s="51"/>
      <c r="E7" s="51"/>
      <c r="F7" s="51"/>
      <c r="G7" s="51"/>
      <c r="H7" s="51"/>
    </row>
    <row r="8" ht="18.0" customHeight="1">
      <c r="A8" s="68"/>
      <c r="B8" s="51"/>
      <c r="C8" s="51"/>
      <c r="D8" s="51"/>
      <c r="E8" s="51"/>
      <c r="F8" s="51"/>
      <c r="G8" s="51"/>
      <c r="H8" s="51"/>
    </row>
    <row r="9" ht="18.0" customHeight="1">
      <c r="A9" s="68"/>
      <c r="B9" s="51"/>
      <c r="C9" s="51"/>
      <c r="D9" s="51"/>
      <c r="E9" s="51"/>
      <c r="F9" s="51"/>
      <c r="G9" s="51"/>
      <c r="H9" s="51"/>
    </row>
    <row r="10" ht="18.0" customHeight="1">
      <c r="A10" s="68"/>
      <c r="B10" s="51"/>
      <c r="C10" s="51"/>
      <c r="D10" s="51"/>
      <c r="E10" s="51"/>
      <c r="F10" s="51"/>
      <c r="G10" s="51"/>
      <c r="H10" s="51"/>
    </row>
    <row r="11" ht="18.0" customHeight="1">
      <c r="A11" s="68"/>
      <c r="B11" s="51"/>
      <c r="C11" s="51"/>
      <c r="D11" s="51"/>
      <c r="E11" s="51"/>
      <c r="F11" s="51"/>
      <c r="G11" s="51"/>
      <c r="H11" s="51"/>
    </row>
    <row r="12" ht="18.0" customHeight="1">
      <c r="A12" s="68"/>
      <c r="B12" s="51"/>
      <c r="C12" s="51"/>
      <c r="D12" s="51"/>
      <c r="E12" s="51"/>
      <c r="F12" s="51"/>
      <c r="G12" s="51"/>
      <c r="H12" s="51"/>
    </row>
    <row r="13" ht="18.0" customHeight="1">
      <c r="A13" s="68"/>
      <c r="B13" s="51"/>
      <c r="C13" s="51"/>
      <c r="D13" s="51"/>
      <c r="E13" s="51"/>
      <c r="F13" s="51"/>
      <c r="G13" s="51"/>
      <c r="H13" s="51"/>
    </row>
    <row r="14" ht="18.0" customHeight="1">
      <c r="A14" s="68"/>
      <c r="B14" s="51"/>
      <c r="C14" s="51"/>
      <c r="D14" s="51"/>
      <c r="E14" s="51"/>
      <c r="F14" s="51"/>
      <c r="G14" s="51"/>
      <c r="H14" s="51"/>
    </row>
    <row r="15" ht="18.0" customHeight="1">
      <c r="A15" s="68"/>
      <c r="B15" s="51"/>
      <c r="C15" s="51"/>
      <c r="D15" s="51"/>
      <c r="E15" s="51"/>
      <c r="F15" s="51"/>
      <c r="G15" s="51"/>
      <c r="H15" s="51"/>
    </row>
    <row r="16" ht="18.0" customHeight="1">
      <c r="A16" s="68"/>
      <c r="B16" s="51"/>
      <c r="C16" s="51"/>
      <c r="D16" s="51"/>
      <c r="E16" s="51"/>
      <c r="F16" s="51"/>
      <c r="G16" s="51"/>
      <c r="H16" s="51"/>
    </row>
    <row r="17" ht="18.0" customHeight="1">
      <c r="A17" s="68"/>
      <c r="B17" s="51"/>
      <c r="C17" s="51"/>
      <c r="D17" s="51"/>
      <c r="E17" s="51"/>
      <c r="F17" s="51"/>
      <c r="G17" s="51"/>
      <c r="H17" s="51"/>
    </row>
    <row r="18" ht="18.0" customHeight="1">
      <c r="A18" s="68"/>
      <c r="B18" s="51"/>
      <c r="C18" s="51"/>
      <c r="D18" s="51"/>
      <c r="E18" s="51"/>
      <c r="F18" s="51"/>
      <c r="G18" s="51"/>
      <c r="H18" s="51"/>
    </row>
    <row r="19" ht="18.0" customHeight="1">
      <c r="A19" s="68"/>
      <c r="B19" s="51"/>
      <c r="C19" s="51"/>
      <c r="D19" s="51"/>
      <c r="E19" s="51"/>
      <c r="F19" s="51"/>
      <c r="G19" s="51"/>
      <c r="H19" s="51"/>
    </row>
    <row r="20" ht="18.0" customHeight="1">
      <c r="A20" s="68"/>
      <c r="B20" s="51"/>
      <c r="C20" s="51"/>
      <c r="D20" s="51"/>
      <c r="E20" s="51"/>
      <c r="F20" s="51"/>
      <c r="G20" s="51"/>
      <c r="H20" s="51"/>
    </row>
    <row r="21" ht="18.0" customHeight="1">
      <c r="A21" s="68"/>
      <c r="B21" s="51"/>
      <c r="C21" s="51"/>
      <c r="D21" s="51"/>
      <c r="E21" s="51"/>
      <c r="F21" s="51"/>
      <c r="G21" s="51"/>
      <c r="H21" s="51"/>
    </row>
    <row r="22" ht="18.0" customHeight="1">
      <c r="A22" s="68"/>
      <c r="B22" s="51"/>
      <c r="C22" s="51"/>
      <c r="D22" s="51"/>
      <c r="E22" s="51"/>
      <c r="F22" s="51"/>
      <c r="G22" s="51"/>
      <c r="H22" s="51"/>
    </row>
    <row r="23" ht="18.0" customHeight="1">
      <c r="A23" s="68"/>
      <c r="B23" s="51"/>
      <c r="C23" s="51"/>
      <c r="D23" s="51"/>
      <c r="E23" s="51"/>
      <c r="F23" s="51"/>
      <c r="G23" s="51"/>
      <c r="H23" s="51"/>
    </row>
    <row r="24" ht="18.0" customHeight="1">
      <c r="A24" s="68"/>
      <c r="B24" s="51"/>
      <c r="C24" s="51"/>
      <c r="D24" s="51"/>
      <c r="E24" s="51"/>
      <c r="F24" s="51"/>
      <c r="G24" s="51"/>
      <c r="H24" s="51"/>
    </row>
    <row r="25" ht="18.0" customHeight="1">
      <c r="A25" s="68"/>
      <c r="B25" s="51"/>
      <c r="C25" s="51"/>
      <c r="D25" s="51"/>
      <c r="E25" s="51"/>
      <c r="F25" s="51"/>
      <c r="G25" s="51"/>
      <c r="H25" s="51"/>
    </row>
    <row r="26" ht="18.0" customHeight="1">
      <c r="A26" s="68"/>
      <c r="B26" s="51"/>
      <c r="C26" s="51"/>
      <c r="D26" s="51"/>
      <c r="E26" s="51"/>
      <c r="F26" s="51"/>
      <c r="G26" s="51"/>
      <c r="H26" s="51"/>
    </row>
    <row r="27" ht="18.0" customHeight="1">
      <c r="A27" s="68"/>
      <c r="B27" s="51"/>
      <c r="C27" s="51"/>
      <c r="D27" s="51"/>
      <c r="E27" s="51"/>
      <c r="F27" s="51"/>
      <c r="G27" s="51"/>
      <c r="H27" s="51"/>
    </row>
    <row r="28" ht="18.0" customHeight="1">
      <c r="A28" s="68"/>
      <c r="B28" s="51"/>
      <c r="C28" s="51"/>
      <c r="D28" s="51"/>
      <c r="E28" s="51"/>
      <c r="F28" s="51"/>
      <c r="G28" s="51"/>
      <c r="H28" s="51"/>
    </row>
    <row r="29" ht="18.0" customHeight="1">
      <c r="A29" s="68"/>
      <c r="B29" s="51"/>
      <c r="C29" s="51"/>
      <c r="D29" s="51"/>
      <c r="E29" s="51"/>
      <c r="F29" s="51"/>
      <c r="G29" s="51"/>
      <c r="H29" s="51"/>
    </row>
    <row r="30" ht="18.0" customHeight="1">
      <c r="A30" s="68"/>
      <c r="B30" s="51"/>
      <c r="C30" s="51"/>
      <c r="D30" s="51"/>
      <c r="E30" s="51"/>
      <c r="F30" s="51"/>
      <c r="G30" s="51"/>
      <c r="H30" s="51"/>
    </row>
    <row r="31" ht="18.0" customHeight="1">
      <c r="A31" s="68"/>
      <c r="B31" s="51"/>
      <c r="C31" s="51"/>
      <c r="D31" s="51"/>
      <c r="E31" s="51"/>
      <c r="F31" s="51"/>
      <c r="G31" s="51"/>
      <c r="H31" s="51"/>
    </row>
    <row r="32" ht="18.0" customHeight="1">
      <c r="A32" s="68"/>
      <c r="B32" s="51"/>
      <c r="C32" s="51"/>
      <c r="D32" s="51"/>
      <c r="E32" s="51"/>
      <c r="F32" s="51"/>
      <c r="G32" s="51"/>
      <c r="H32" s="51"/>
    </row>
    <row r="33" ht="18.0" customHeight="1">
      <c r="A33" s="20" t="s">
        <v>143</v>
      </c>
      <c r="B33" s="5"/>
      <c r="C33" s="5"/>
      <c r="D33" s="5"/>
      <c r="E33" s="5"/>
      <c r="F33" s="5"/>
      <c r="G33" s="5"/>
      <c r="H33" s="6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2">
    <mergeCell ref="A1:H1"/>
    <mergeCell ref="A33:H33"/>
  </mergeCells>
  <printOptions/>
  <pageMargins bottom="1.0" footer="0.0" header="0.0" left="0.75" right="0.75" top="1.0"/>
  <pageSetup paperSize="9" orientation="portrait"/>
  <drawing r:id="rId1"/>
</worksheet>
</file>